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91" documentId="8_{FC052C5C-D932-4074-9686-B1625CA030BD}" xr6:coauthVersionLast="47" xr6:coauthVersionMax="47" xr10:uidLastSave="{5F8B5BB7-0BE1-44A0-BFA4-D2156DB4CD65}"/>
  <bookViews>
    <workbookView xWindow="-108" yWindow="-108" windowWidth="23256" windowHeight="12456" activeTab="2" xr2:uid="{00000000-000D-0000-FFFF-FFFF00000000}"/>
  </bookViews>
  <sheets>
    <sheet name="Today" sheetId="1" r:id="rId1"/>
    <sheet name="YEAR,MONTH,DATEDIF,.." sheetId="2" r:id="rId2"/>
    <sheet name="lOOKUP &amp; REF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9tcqfv36jb7ox2J4jJSU7YalyrX2Rx0zGgdVO3Bsdc="/>
    </ext>
  </extLst>
</workbook>
</file>

<file path=xl/calcChain.xml><?xml version="1.0" encoding="utf-8"?>
<calcChain xmlns="http://schemas.openxmlformats.org/spreadsheetml/2006/main">
  <c r="K14" i="3" l="1"/>
  <c r="E22" i="3"/>
  <c r="D22" i="3"/>
  <c r="J15" i="3"/>
  <c r="K15" i="3"/>
  <c r="K13" i="3"/>
  <c r="J14" i="3"/>
  <c r="J13" i="3"/>
  <c r="E21" i="3"/>
  <c r="D21" i="3"/>
  <c r="E17" i="3" a="1"/>
  <c r="D17" i="3"/>
  <c r="D13" i="3"/>
  <c r="E13" i="3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M2" i="2"/>
  <c r="M1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F15" i="2"/>
  <c r="F16" i="2"/>
  <c r="F17" i="2"/>
  <c r="F18" i="2"/>
  <c r="F5" i="2"/>
  <c r="F6" i="2"/>
  <c r="F7" i="2"/>
  <c r="F8" i="2"/>
  <c r="F9" i="2"/>
  <c r="F10" i="2"/>
  <c r="F11" i="2"/>
  <c r="F12" i="2"/>
  <c r="F13" i="2"/>
  <c r="F14" i="2"/>
  <c r="F4" i="2"/>
  <c r="L7" i="2"/>
  <c r="L6" i="2"/>
  <c r="E4" i="1"/>
  <c r="C4" i="1"/>
  <c r="E3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<sst xmlns="http://schemas.openxmlformats.org/spreadsheetml/2006/main" count="132" uniqueCount="92">
  <si>
    <t>Function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</si>
  <si>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>Logistics Delivery Data</t>
    </r>
  </si>
  <si>
    <t>VLOOKUP, HLOOKUP, XLOOKUP, INDEX &amp;Match</t>
  </si>
  <si>
    <t>Syntax</t>
  </si>
  <si>
    <t>What it does</t>
  </si>
  <si>
    <t>Example</t>
  </si>
  <si>
    <r>
      <rPr>
        <sz val="11"/>
        <color rgb="FFFF0000"/>
        <rFont val="Calibri"/>
      </rPr>
      <t>⏰</t>
    </r>
    <r>
      <rPr>
        <sz val="11"/>
        <color theme="1"/>
        <rFont val="Calibri"/>
      </rPr>
      <t>Current Date&amp; Time:</t>
    </r>
  </si>
  <si>
    <t>TODAY</t>
  </si>
  <si>
    <t>⏰ Current Date:</t>
  </si>
  <si>
    <t>Order ID</t>
  </si>
  <si>
    <t>Dispatch Date</t>
  </si>
  <si>
    <t>Delivery
 Date</t>
  </si>
  <si>
    <t>Year</t>
  </si>
  <si>
    <t>Month</t>
  </si>
  <si>
    <t>DateDif</t>
  </si>
  <si>
    <t>Field</t>
  </si>
  <si>
    <t>Today’s date (updates daily)</t>
  </si>
  <si>
    <t>weekdays</t>
  </si>
  <si>
    <t>NOW</t>
  </si>
  <si>
    <t>Product ID</t>
  </si>
  <si>
    <t>L101</t>
  </si>
  <si>
    <t>Name</t>
  </si>
  <si>
    <t>Price</t>
  </si>
  <si>
    <t>Category</t>
  </si>
  <si>
    <t>P1</t>
  </si>
  <si>
    <t>Today’s date and current time</t>
  </si>
  <si>
    <t>weekday() :</t>
  </si>
  <si>
    <t>P2</t>
  </si>
  <si>
    <t>P3</t>
  </si>
  <si>
    <t>output -Sun = 1 … Sat = 7</t>
  </si>
  <si>
    <t>P4</t>
  </si>
  <si>
    <t>YEAR</t>
  </si>
  <si>
    <t>L102</t>
  </si>
  <si>
    <t>YEAR(date)</t>
  </si>
  <si>
    <t>Year number of a date</t>
  </si>
  <si>
    <t>YEAR(E11) → 2015</t>
  </si>
  <si>
    <t>MONTH</t>
  </si>
  <si>
    <t>MONTH(date)</t>
  </si>
  <si>
    <t>L103</t>
  </si>
  <si>
    <t>Month number (1–12) of a date</t>
  </si>
  <si>
    <t>MONTH(E11) → 6</t>
  </si>
  <si>
    <t>WEEKDAY</t>
  </si>
  <si>
    <t>WEEKDAY(date, [type])</t>
  </si>
  <si>
    <t>L104</t>
  </si>
  <si>
    <t>Day of the week as a number (see types below)</t>
  </si>
  <si>
    <t>WEEKDAY(E11,2) → 1</t>
  </si>
  <si>
    <t>DATEDIF</t>
  </si>
  <si>
    <t>DATEDIF(start, end, unit)</t>
  </si>
  <si>
    <t>L105</t>
  </si>
  <si>
    <t>Gap between two dates. Units: “Y”, “M”, “D”</t>
  </si>
  <si>
    <t>DATEDIF(D11,TODAY(),"Y") → age</t>
  </si>
  <si>
    <t>VLOOKUP</t>
  </si>
  <si>
    <t>Laptop</t>
  </si>
  <si>
    <t>L106</t>
  </si>
  <si>
    <t>VLOOKUP(value, table, col_no, FALSE)</t>
  </si>
  <si>
    <t>Finds a value in the first column and returns from a column to the right</t>
  </si>
  <si>
    <t>VLOOKUP("P105",A9:E18,4,FALSE)</t>
  </si>
  <si>
    <t>HLOOKUP</t>
  </si>
  <si>
    <t>L107</t>
  </si>
  <si>
    <t>HLOOKUP(value, table, row_no, FALSE)</t>
  </si>
  <si>
    <t>Finds a value in the first row and returns from a row below</t>
  </si>
  <si>
    <t>HLOOKUP("Mar",A44:G47,2,FALSE)</t>
  </si>
  <si>
    <t>L108</t>
  </si>
  <si>
    <t>XLOOKUP</t>
  </si>
  <si>
    <t>Electronics</t>
  </si>
  <si>
    <t>XLOOKUP(value, look_range, return_range, [not_found])</t>
  </si>
  <si>
    <t>Modern lookup that works in any direction, with exact match by default (Excel 2021/365)</t>
  </si>
  <si>
    <t>L109</t>
  </si>
  <si>
    <t>XLOOKUP(A21,B7:B14,A7:A14)</t>
  </si>
  <si>
    <t>INDEX</t>
  </si>
  <si>
    <t>INDEX(range, row_no, [col_no])</t>
  </si>
  <si>
    <t>Returns the value at a given row and column position</t>
  </si>
  <si>
    <t>L110</t>
  </si>
  <si>
    <t>INDEX(C7:F14,4,3)</t>
  </si>
  <si>
    <t>MATCH</t>
  </si>
  <si>
    <t>MATCH(value, range, 0)</t>
  </si>
  <si>
    <t>L111</t>
  </si>
  <si>
    <t>Returns the position of a value in a row or column</t>
  </si>
  <si>
    <t>MATCH("Sneha Pillai",B7:B14,0) → 4</t>
  </si>
  <si>
    <t>L112</t>
  </si>
  <si>
    <t>L113</t>
  </si>
  <si>
    <t>L114</t>
  </si>
  <si>
    <t>L115</t>
  </si>
  <si>
    <t>Phone</t>
  </si>
  <si>
    <t>Mouse</t>
  </si>
  <si>
    <t>Keyboard</t>
  </si>
  <si>
    <t>Accessories</t>
  </si>
  <si>
    <t xml:space="preserve">INDEX &amp; MATCH </t>
  </si>
  <si>
    <t>now()</t>
  </si>
  <si>
    <t>today()</t>
  </si>
  <si>
    <t>week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</si>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</sst>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m/d/yyyy\ h:mm:ss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</font>
    <font>
      <b/>
      <sz val="11"/>
      <color theme="1"/>
      <name val="Calibri"/>
      <scheme val="minor"/>
    </font>
    <font>
      <b/>
      <sz val="15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000000"/>
      <name val="Arial"/>
    </font>
    <font>
      <b/>
      <u/>
      <sz val="18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22" fontId="6" fillId="2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0" fontId="9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4" borderId="5" xfId="0" applyFont="1" applyFill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9C7DE-3413-4333-BDA4-AFE94454E92F}" name="LOG" displayName="LOG" ref="C4:G8" totalsRowShown="0" headerRowDxfId="0" tableBorderDxfId="1">
  <autoFilter ref="C4:G8" xr:uid="{3C89C7DE-3413-4333-BDA4-AFE94454E92F}"/>
  <tableColumns count="5">
    <tableColumn id="1" xr3:uid="{09F2F5B5-21DB-4116-8B9B-949A5D72B751}" name="Field"/>
    <tableColumn id="2" xr3:uid="{E611E88F-F8A5-49C9-8BAF-33D65D58BD23}" name="Product ID"/>
    <tableColumn id="3" xr3:uid="{E53F7982-FC36-4D99-9D05-9C3DFE5DD5D3}" name="Name"/>
    <tableColumn id="4" xr3:uid="{C719ACAF-05D4-4282-A869-E3701D578ED8}" name="Price"/>
    <tableColumn id="5" xr3:uid="{494AE6CF-F186-45DE-B03E-09F5581C11B1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4"/>
  <sheetViews>
    <sheetView workbookViewId="0"/>
  </sheetViews>
  <sheetFormatPr defaultColWidth="14.44140625" defaultRowHeight="15" customHeight="1"/>
  <cols>
    <col min="3" max="3" width="49" customWidth="1"/>
    <col min="4" max="4" width="76.6640625" customWidth="1"/>
    <col min="5" max="5" width="32" customWidth="1"/>
  </cols>
  <sheetData>
    <row r="2" spans="2:5">
      <c r="B2" s="2" t="s">
        <v>0</v>
      </c>
      <c r="C2" s="2" t="s">
        <v>3</v>
      </c>
      <c r="D2" s="2" t="s">
        <v>4</v>
      </c>
      <c r="E2" s="2" t="s">
        <v>5</v>
      </c>
    </row>
    <row r="3" spans="2:5">
      <c r="B3" s="3" t="s">
        <v>7</v>
      </c>
      <c r="C3" s="10">
        <f ca="1">TODAY()</f>
        <v>46323</v>
      </c>
      <c r="D3" s="3" t="s">
        <v>16</v>
      </c>
      <c r="E3" s="10">
        <f ca="1">TODAY()</f>
        <v>46323</v>
      </c>
    </row>
    <row r="4" spans="2:5">
      <c r="B4" s="3" t="s">
        <v>18</v>
      </c>
      <c r="C4" s="16">
        <f ca="1">NOW()</f>
        <v>46323.660280208336</v>
      </c>
      <c r="D4" s="3" t="s">
        <v>25</v>
      </c>
      <c r="E4" s="16">
        <f ca="1">NOW()</f>
        <v>46323.660280208336</v>
      </c>
    </row>
    <row r="5" spans="2:5">
      <c r="B5" s="3" t="s">
        <v>31</v>
      </c>
      <c r="C5" s="3" t="s">
        <v>33</v>
      </c>
      <c r="D5" s="3" t="s">
        <v>34</v>
      </c>
      <c r="E5" s="3" t="s">
        <v>35</v>
      </c>
    </row>
    <row r="6" spans="2:5">
      <c r="B6" s="3" t="s">
        <v>36</v>
      </c>
      <c r="C6" s="3" t="s">
        <v>37</v>
      </c>
      <c r="D6" s="3" t="s">
        <v>39</v>
      </c>
      <c r="E6" s="3" t="s">
        <v>40</v>
      </c>
    </row>
    <row r="7" spans="2:5">
      <c r="B7" s="3" t="s">
        <v>41</v>
      </c>
      <c r="C7" s="3" t="s">
        <v>42</v>
      </c>
      <c r="D7" s="3" t="s">
        <v>44</v>
      </c>
      <c r="E7" s="3" t="s">
        <v>45</v>
      </c>
    </row>
    <row r="8" spans="2:5">
      <c r="B8" s="3" t="s">
        <v>46</v>
      </c>
      <c r="C8" s="3" t="s">
        <v>47</v>
      </c>
      <c r="D8" s="3" t="s">
        <v>49</v>
      </c>
      <c r="E8" s="3" t="s">
        <v>50</v>
      </c>
    </row>
    <row r="9" spans="2:5">
      <c r="B9" s="3" t="s">
        <v>51</v>
      </c>
      <c r="C9" s="3" t="s">
        <v>54</v>
      </c>
      <c r="D9" s="3" t="s">
        <v>55</v>
      </c>
      <c r="E9" s="3" t="s">
        <v>56</v>
      </c>
    </row>
    <row r="10" spans="2:5">
      <c r="B10" s="3" t="s">
        <v>57</v>
      </c>
      <c r="C10" s="3" t="s">
        <v>59</v>
      </c>
      <c r="D10" s="3" t="s">
        <v>60</v>
      </c>
      <c r="E10" s="3" t="s">
        <v>61</v>
      </c>
    </row>
    <row r="11" spans="2:5">
      <c r="B11" s="3" t="s">
        <v>63</v>
      </c>
      <c r="C11" s="3" t="s">
        <v>65</v>
      </c>
      <c r="D11" s="3" t="s">
        <v>66</v>
      </c>
      <c r="E11" s="3" t="s">
        <v>68</v>
      </c>
    </row>
    <row r="12" spans="2:5">
      <c r="B12" s="3" t="s">
        <v>69</v>
      </c>
      <c r="C12" s="3" t="s">
        <v>70</v>
      </c>
      <c r="D12" s="3" t="s">
        <v>71</v>
      </c>
      <c r="E12" s="3" t="s">
        <v>73</v>
      </c>
    </row>
    <row r="13" spans="2:5">
      <c r="B13" s="3" t="s">
        <v>74</v>
      </c>
      <c r="C13" s="3" t="s">
        <v>75</v>
      </c>
      <c r="D13" s="3" t="s">
        <v>77</v>
      </c>
      <c r="E13" s="3" t="s">
        <v>78</v>
      </c>
    </row>
    <row r="14" spans="2:5">
      <c r="B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1000"/>
  <sheetViews>
    <sheetView workbookViewId="0">
      <selection activeCell="K3" sqref="K3"/>
    </sheetView>
  </sheetViews>
  <sheetFormatPr defaultColWidth="14.44140625" defaultRowHeight="15" customHeight="1"/>
  <cols>
    <col min="1" max="2" width="8.6640625" customWidth="1"/>
    <col min="3" max="3" width="8.44140625" customWidth="1"/>
    <col min="4" max="4" width="10.44140625" customWidth="1"/>
    <col min="5" max="5" width="10.109375" customWidth="1"/>
    <col min="6" max="8" width="8.6640625" customWidth="1"/>
    <col min="9" max="9" width="13" customWidth="1"/>
    <col min="10" max="11" width="8.6640625" customWidth="1"/>
    <col min="12" max="12" width="21.5546875" customWidth="1"/>
    <col min="13" max="13" width="10.88671875" customWidth="1"/>
    <col min="14" max="21" width="8.6640625" customWidth="1"/>
  </cols>
  <sheetData>
    <row r="1" spans="3:14" ht="23.4">
      <c r="C1" s="1" t="s">
        <v>1</v>
      </c>
      <c r="L1" s="4" t="s">
        <v>6</v>
      </c>
      <c r="M1" s="6">
        <f ca="1">NOW( )</f>
        <v>46323.660280208336</v>
      </c>
    </row>
    <row r="2" spans="3:14" ht="14.4">
      <c r="L2" s="3" t="s">
        <v>8</v>
      </c>
      <c r="M2" s="6">
        <f ca="1">TODAY(  )</f>
        <v>46323</v>
      </c>
    </row>
    <row r="3" spans="3:14" ht="28.8">
      <c r="C3" s="7" t="s">
        <v>9</v>
      </c>
      <c r="D3" s="7" t="s">
        <v>10</v>
      </c>
      <c r="E3" s="8" t="s">
        <v>11</v>
      </c>
      <c r="F3" s="9" t="s">
        <v>12</v>
      </c>
      <c r="G3" s="9" t="s">
        <v>13</v>
      </c>
      <c r="H3" s="11" t="s">
        <v>14</v>
      </c>
      <c r="I3" s="11" t="s">
        <v>17</v>
      </c>
      <c r="J3" s="25" t="s">
        <v>90</v>
      </c>
      <c r="K3" s="25" t="s">
        <v>91</v>
      </c>
    </row>
    <row r="4" spans="3:14" ht="14.4">
      <c r="C4" s="13" t="s">
        <v>20</v>
      </c>
      <c r="D4" s="15">
        <v>45809</v>
      </c>
      <c r="E4" s="15">
        <v>45818</v>
      </c>
      <c r="F4" s="17">
        <f>YEAR(E4)</f>
        <v>2025</v>
      </c>
      <c r="G4" s="17">
        <f>MONTH(D4)</f>
        <v>6</v>
      </c>
      <c r="H4" s="17">
        <f>DATEDIF(D4,E4,"d")</f>
        <v>9</v>
      </c>
      <c r="I4" s="17">
        <f>WEEKDAY(D4)</f>
        <v>1</v>
      </c>
      <c r="J4" t="str">
        <f>TEXT(D4,"dddd")</f>
        <v>Sunday</v>
      </c>
      <c r="K4" t="str">
        <f>TEXT(D4,"mmmm")</f>
        <v>June</v>
      </c>
      <c r="M4" s="18" t="s">
        <v>26</v>
      </c>
      <c r="N4" s="18" t="s">
        <v>29</v>
      </c>
    </row>
    <row r="5" spans="3:14" ht="14.4">
      <c r="C5" s="13" t="s">
        <v>32</v>
      </c>
      <c r="D5" s="15">
        <v>45811</v>
      </c>
      <c r="E5" s="15">
        <v>45822</v>
      </c>
      <c r="F5" s="17">
        <f t="shared" ref="F5:F18" si="0">YEAR(E5)</f>
        <v>2025</v>
      </c>
      <c r="G5" s="17">
        <f t="shared" ref="G5:G18" si="1">MONTH(D5)</f>
        <v>6</v>
      </c>
      <c r="H5" s="17">
        <f t="shared" ref="H5:H18" si="2">DATEDIF(D5,E5,"d")</f>
        <v>11</v>
      </c>
      <c r="I5" s="17">
        <f t="shared" ref="I5:I18" si="3">WEEKDAY(D5)</f>
        <v>3</v>
      </c>
      <c r="J5" t="str">
        <f t="shared" ref="J5:J18" si="4">TEXT(D5,"dddd")</f>
        <v>Tuesday</v>
      </c>
      <c r="K5" t="str">
        <f t="shared" ref="K5:K18" si="5">TEXT(D5,"mmmm")</f>
        <v>June</v>
      </c>
    </row>
    <row r="6" spans="3:14" ht="14.4">
      <c r="C6" s="13" t="s">
        <v>38</v>
      </c>
      <c r="D6" s="15">
        <v>45813</v>
      </c>
      <c r="E6" s="15">
        <v>45828</v>
      </c>
      <c r="F6" s="17">
        <f t="shared" si="0"/>
        <v>2025</v>
      </c>
      <c r="G6" s="17">
        <f t="shared" si="1"/>
        <v>6</v>
      </c>
      <c r="H6" s="17">
        <f t="shared" si="2"/>
        <v>15</v>
      </c>
      <c r="I6" s="17">
        <f t="shared" si="3"/>
        <v>5</v>
      </c>
      <c r="J6" t="str">
        <f t="shared" si="4"/>
        <v>Thursday</v>
      </c>
      <c r="K6" t="str">
        <f t="shared" si="5"/>
        <v>June</v>
      </c>
      <c r="L6" s="23">
        <f ca="1">NOW( )</f>
        <v>46323.660280208336</v>
      </c>
      <c r="M6" t="s">
        <v>88</v>
      </c>
    </row>
    <row r="7" spans="3:14" ht="14.4">
      <c r="C7" s="13" t="s">
        <v>43</v>
      </c>
      <c r="D7" s="15">
        <v>45816</v>
      </c>
      <c r="E7" s="15">
        <v>45830</v>
      </c>
      <c r="F7" s="17">
        <f t="shared" si="0"/>
        <v>2025</v>
      </c>
      <c r="G7" s="17">
        <f t="shared" si="1"/>
        <v>6</v>
      </c>
      <c r="H7" s="17">
        <f t="shared" si="2"/>
        <v>14</v>
      </c>
      <c r="I7" s="17">
        <f t="shared" si="3"/>
        <v>1</v>
      </c>
      <c r="J7" t="str">
        <f t="shared" si="4"/>
        <v>Sunday</v>
      </c>
      <c r="K7" t="str">
        <f t="shared" si="5"/>
        <v>June</v>
      </c>
      <c r="L7" s="24">
        <f ca="1">TODAY( )</f>
        <v>46323</v>
      </c>
      <c r="M7" t="s">
        <v>89</v>
      </c>
    </row>
    <row r="8" spans="3:14" ht="14.4">
      <c r="C8" s="13" t="s">
        <v>48</v>
      </c>
      <c r="D8" s="15">
        <v>45818</v>
      </c>
      <c r="E8" s="15">
        <v>45833</v>
      </c>
      <c r="F8" s="17">
        <f t="shared" si="0"/>
        <v>2025</v>
      </c>
      <c r="G8" s="17">
        <f t="shared" si="1"/>
        <v>6</v>
      </c>
      <c r="H8" s="17">
        <f t="shared" si="2"/>
        <v>15</v>
      </c>
      <c r="I8" s="17">
        <f t="shared" si="3"/>
        <v>3</v>
      </c>
      <c r="J8" t="str">
        <f t="shared" si="4"/>
        <v>Tuesday</v>
      </c>
      <c r="K8" t="str">
        <f t="shared" si="5"/>
        <v>June</v>
      </c>
    </row>
    <row r="9" spans="3:14" ht="14.4">
      <c r="C9" s="13" t="s">
        <v>53</v>
      </c>
      <c r="D9" s="15">
        <v>45820</v>
      </c>
      <c r="E9" s="15">
        <v>45838</v>
      </c>
      <c r="F9" s="17">
        <f t="shared" si="0"/>
        <v>2025</v>
      </c>
      <c r="G9" s="17">
        <f t="shared" si="1"/>
        <v>6</v>
      </c>
      <c r="H9" s="17">
        <f t="shared" si="2"/>
        <v>18</v>
      </c>
      <c r="I9" s="17">
        <f t="shared" si="3"/>
        <v>5</v>
      </c>
      <c r="J9" t="str">
        <f t="shared" si="4"/>
        <v>Thursday</v>
      </c>
      <c r="K9" t="str">
        <f t="shared" si="5"/>
        <v>June</v>
      </c>
    </row>
    <row r="10" spans="3:14" ht="14.4">
      <c r="C10" s="13" t="s">
        <v>58</v>
      </c>
      <c r="D10" s="15">
        <v>45823</v>
      </c>
      <c r="E10" s="15">
        <v>45836</v>
      </c>
      <c r="F10" s="17">
        <f t="shared" si="0"/>
        <v>2025</v>
      </c>
      <c r="G10" s="17">
        <f t="shared" si="1"/>
        <v>6</v>
      </c>
      <c r="H10" s="17">
        <f t="shared" si="2"/>
        <v>13</v>
      </c>
      <c r="I10" s="17">
        <f t="shared" si="3"/>
        <v>1</v>
      </c>
      <c r="J10" t="str">
        <f t="shared" si="4"/>
        <v>Sunday</v>
      </c>
      <c r="K10" t="str">
        <f t="shared" si="5"/>
        <v>June</v>
      </c>
    </row>
    <row r="11" spans="3:14" ht="14.4">
      <c r="C11" s="13" t="s">
        <v>62</v>
      </c>
      <c r="D11" s="15">
        <v>45826</v>
      </c>
      <c r="E11" s="15">
        <v>45838</v>
      </c>
      <c r="F11" s="17">
        <f t="shared" si="0"/>
        <v>2025</v>
      </c>
      <c r="G11" s="17">
        <f t="shared" si="1"/>
        <v>6</v>
      </c>
      <c r="H11" s="17">
        <f t="shared" si="2"/>
        <v>12</v>
      </c>
      <c r="I11" s="17">
        <f t="shared" si="3"/>
        <v>4</v>
      </c>
      <c r="J11" t="str">
        <f t="shared" si="4"/>
        <v>Wednesday</v>
      </c>
      <c r="K11" t="str">
        <f t="shared" si="5"/>
        <v>June</v>
      </c>
    </row>
    <row r="12" spans="3:14" ht="14.4">
      <c r="C12" s="13" t="s">
        <v>67</v>
      </c>
      <c r="D12" s="15">
        <v>45828</v>
      </c>
      <c r="E12" s="15">
        <v>45843</v>
      </c>
      <c r="F12" s="17">
        <f t="shared" si="0"/>
        <v>2025</v>
      </c>
      <c r="G12" s="17">
        <f t="shared" si="1"/>
        <v>6</v>
      </c>
      <c r="H12" s="17">
        <f t="shared" si="2"/>
        <v>15</v>
      </c>
      <c r="I12" s="17">
        <f t="shared" si="3"/>
        <v>6</v>
      </c>
      <c r="J12" t="str">
        <f t="shared" si="4"/>
        <v>Friday</v>
      </c>
      <c r="K12" t="str">
        <f t="shared" si="5"/>
        <v>June</v>
      </c>
    </row>
    <row r="13" spans="3:14" ht="14.4">
      <c r="C13" s="13" t="s">
        <v>72</v>
      </c>
      <c r="D13" s="15">
        <v>45830</v>
      </c>
      <c r="E13" s="15">
        <v>45848</v>
      </c>
      <c r="F13" s="17">
        <f t="shared" si="0"/>
        <v>2025</v>
      </c>
      <c r="G13" s="17">
        <f t="shared" si="1"/>
        <v>6</v>
      </c>
      <c r="H13" s="17">
        <f t="shared" si="2"/>
        <v>18</v>
      </c>
      <c r="I13" s="17">
        <f t="shared" si="3"/>
        <v>1</v>
      </c>
      <c r="J13" t="str">
        <f t="shared" si="4"/>
        <v>Sunday</v>
      </c>
      <c r="K13" t="str">
        <f t="shared" si="5"/>
        <v>June</v>
      </c>
    </row>
    <row r="14" spans="3:14" ht="14.4">
      <c r="C14" s="13" t="s">
        <v>76</v>
      </c>
      <c r="D14" s="15">
        <v>44358</v>
      </c>
      <c r="E14" s="15">
        <v>45849</v>
      </c>
      <c r="F14" s="17">
        <f t="shared" si="0"/>
        <v>2025</v>
      </c>
      <c r="G14" s="17">
        <f t="shared" si="1"/>
        <v>6</v>
      </c>
      <c r="H14" s="17">
        <f t="shared" si="2"/>
        <v>1491</v>
      </c>
      <c r="I14" s="17">
        <f t="shared" si="3"/>
        <v>6</v>
      </c>
      <c r="J14" t="str">
        <f t="shared" si="4"/>
        <v>Friday</v>
      </c>
      <c r="K14" t="str">
        <f t="shared" si="5"/>
        <v>June</v>
      </c>
    </row>
    <row r="15" spans="3:14" ht="14.4">
      <c r="C15" s="13" t="s">
        <v>79</v>
      </c>
      <c r="D15" s="15">
        <v>43994</v>
      </c>
      <c r="E15" s="15">
        <v>45850</v>
      </c>
      <c r="F15" s="17">
        <f>YEAR(E15)</f>
        <v>2025</v>
      </c>
      <c r="G15" s="17">
        <f t="shared" si="1"/>
        <v>6</v>
      </c>
      <c r="H15" s="17">
        <f t="shared" si="2"/>
        <v>1856</v>
      </c>
      <c r="I15" s="17">
        <f t="shared" si="3"/>
        <v>6</v>
      </c>
      <c r="J15" t="str">
        <f t="shared" si="4"/>
        <v>Friday</v>
      </c>
      <c r="K15" t="str">
        <f t="shared" si="5"/>
        <v>June</v>
      </c>
    </row>
    <row r="16" spans="3:14" ht="14.4">
      <c r="C16" s="13" t="s">
        <v>80</v>
      </c>
      <c r="D16" s="15">
        <v>43995</v>
      </c>
      <c r="E16" s="15">
        <v>45851</v>
      </c>
      <c r="F16" s="17">
        <f t="shared" si="0"/>
        <v>2025</v>
      </c>
      <c r="G16" s="17">
        <f t="shared" si="1"/>
        <v>6</v>
      </c>
      <c r="H16" s="17">
        <f t="shared" si="2"/>
        <v>1856</v>
      </c>
      <c r="I16" s="17">
        <f t="shared" si="3"/>
        <v>7</v>
      </c>
      <c r="J16" t="str">
        <f t="shared" si="4"/>
        <v>Saturday</v>
      </c>
      <c r="K16" t="str">
        <f t="shared" si="5"/>
        <v>June</v>
      </c>
    </row>
    <row r="17" spans="3:11" ht="14.4">
      <c r="C17" s="13" t="s">
        <v>81</v>
      </c>
      <c r="D17" s="15">
        <v>43265</v>
      </c>
      <c r="E17" s="15">
        <v>45852</v>
      </c>
      <c r="F17" s="17">
        <f t="shared" si="0"/>
        <v>2025</v>
      </c>
      <c r="G17" s="17">
        <f t="shared" si="1"/>
        <v>6</v>
      </c>
      <c r="H17" s="17">
        <f t="shared" si="2"/>
        <v>2587</v>
      </c>
      <c r="I17" s="17">
        <f t="shared" si="3"/>
        <v>5</v>
      </c>
      <c r="J17" t="str">
        <f t="shared" si="4"/>
        <v>Thursday</v>
      </c>
      <c r="K17" t="str">
        <f t="shared" si="5"/>
        <v>June</v>
      </c>
    </row>
    <row r="18" spans="3:11" ht="14.4">
      <c r="C18" s="13" t="s">
        <v>82</v>
      </c>
      <c r="D18" s="15">
        <v>45823</v>
      </c>
      <c r="E18" s="15">
        <v>45853</v>
      </c>
      <c r="F18" s="17">
        <f t="shared" si="0"/>
        <v>2025</v>
      </c>
      <c r="G18" s="17">
        <f t="shared" si="1"/>
        <v>6</v>
      </c>
      <c r="H18" s="17">
        <f t="shared" si="2"/>
        <v>30</v>
      </c>
      <c r="I18" s="17">
        <f t="shared" si="3"/>
        <v>1</v>
      </c>
      <c r="J18" t="str">
        <f t="shared" si="4"/>
        <v>Sunday</v>
      </c>
      <c r="K18" t="str">
        <f t="shared" si="5"/>
        <v>June</v>
      </c>
    </row>
    <row r="21" spans="3:11" ht="15.75" customHeight="1"/>
    <row r="22" spans="3:11" ht="15.75" customHeight="1"/>
    <row r="23" spans="3:11" ht="15.75" customHeight="1"/>
    <row r="24" spans="3:11" ht="15.75" customHeight="1"/>
    <row r="25" spans="3:11" ht="15.75" customHeight="1"/>
    <row r="26" spans="3:11" ht="15.75" customHeight="1"/>
    <row r="27" spans="3:11" ht="15.75" customHeight="1"/>
    <row r="28" spans="3:11" ht="15.75" customHeight="1"/>
    <row r="29" spans="3:11" ht="15.75" customHeight="1"/>
    <row r="30" spans="3:11" ht="15.75" customHeight="1"/>
    <row r="31" spans="3:11" ht="15.75" customHeight="1"/>
    <row r="32" spans="3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22"/>
  <sheetViews>
    <sheetView tabSelected="1" workbookViewId="0">
      <selection activeCell="C4" sqref="C4"/>
    </sheetView>
  </sheetViews>
  <sheetFormatPr defaultColWidth="14.44140625" defaultRowHeight="15" customHeight="1"/>
  <cols>
    <col min="3" max="3" width="15.5546875" customWidth="1"/>
  </cols>
  <sheetData>
    <row r="1" spans="2:17" ht="19.8">
      <c r="D1" s="39" t="s">
        <v>2</v>
      </c>
      <c r="E1" s="40"/>
      <c r="F1" s="40"/>
      <c r="G1" s="40"/>
      <c r="H1" s="40"/>
    </row>
    <row r="2" spans="2:17" ht="14.4">
      <c r="B2" s="5"/>
      <c r="C2" s="5"/>
      <c r="D2" s="5"/>
      <c r="E2" s="5"/>
      <c r="F2" s="5"/>
      <c r="L2" s="5"/>
      <c r="M2" s="5"/>
      <c r="N2" s="5"/>
      <c r="O2" s="5"/>
      <c r="P2" s="5"/>
      <c r="Q2" s="5"/>
    </row>
    <row r="3" spans="2:17" ht="14.4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15" customHeight="1">
      <c r="B4" s="5"/>
      <c r="C4" s="43" t="s">
        <v>15</v>
      </c>
      <c r="D4" s="44" t="s">
        <v>19</v>
      </c>
      <c r="E4" s="44" t="s">
        <v>21</v>
      </c>
      <c r="F4" s="44" t="s">
        <v>22</v>
      </c>
      <c r="G4" s="44" t="s">
        <v>23</v>
      </c>
      <c r="H4" s="5"/>
      <c r="I4" s="30" t="s">
        <v>15</v>
      </c>
      <c r="J4" s="30" t="s">
        <v>24</v>
      </c>
      <c r="K4" s="30" t="s">
        <v>27</v>
      </c>
      <c r="L4" s="30" t="s">
        <v>28</v>
      </c>
      <c r="M4" s="31" t="s">
        <v>30</v>
      </c>
      <c r="N4" s="5"/>
    </row>
    <row r="5" spans="2:17" ht="15" customHeight="1">
      <c r="B5" s="5"/>
      <c r="C5" s="41" t="s">
        <v>24</v>
      </c>
      <c r="D5" s="33">
        <v>101</v>
      </c>
      <c r="E5" s="37" t="s">
        <v>52</v>
      </c>
      <c r="F5" s="33">
        <v>2500</v>
      </c>
      <c r="G5" s="37" t="s">
        <v>64</v>
      </c>
      <c r="H5" s="5"/>
      <c r="I5" s="32" t="s">
        <v>19</v>
      </c>
      <c r="J5" s="33">
        <v>101</v>
      </c>
      <c r="K5" s="33">
        <v>102</v>
      </c>
      <c r="L5" s="33">
        <v>103</v>
      </c>
      <c r="M5" s="34">
        <v>104</v>
      </c>
      <c r="N5" s="5"/>
    </row>
    <row r="6" spans="2:17" ht="15" customHeight="1">
      <c r="B6" s="5"/>
      <c r="C6" s="42" t="s">
        <v>27</v>
      </c>
      <c r="D6" s="38">
        <v>102</v>
      </c>
      <c r="E6" s="29" t="s">
        <v>83</v>
      </c>
      <c r="F6" s="38">
        <v>1500</v>
      </c>
      <c r="G6" s="29" t="s">
        <v>64</v>
      </c>
      <c r="H6" s="5"/>
      <c r="I6" s="35" t="s">
        <v>21</v>
      </c>
      <c r="J6" s="29" t="s">
        <v>52</v>
      </c>
      <c r="K6" s="29" t="s">
        <v>83</v>
      </c>
      <c r="L6" s="29" t="s">
        <v>84</v>
      </c>
      <c r="M6" s="28" t="s">
        <v>85</v>
      </c>
      <c r="N6" s="5"/>
    </row>
    <row r="7" spans="2:17" ht="15" customHeight="1">
      <c r="B7" s="5"/>
      <c r="C7" s="41" t="s">
        <v>28</v>
      </c>
      <c r="D7" s="33">
        <v>103</v>
      </c>
      <c r="E7" s="37" t="s">
        <v>84</v>
      </c>
      <c r="F7" s="33">
        <v>800</v>
      </c>
      <c r="G7" s="37" t="s">
        <v>86</v>
      </c>
      <c r="H7" s="5"/>
      <c r="I7" s="32" t="s">
        <v>22</v>
      </c>
      <c r="J7" s="33">
        <v>2500</v>
      </c>
      <c r="K7" s="33">
        <v>1500</v>
      </c>
      <c r="L7" s="33">
        <v>800</v>
      </c>
      <c r="M7" s="34">
        <v>1200</v>
      </c>
      <c r="N7" s="5"/>
    </row>
    <row r="8" spans="2:17" ht="15" customHeight="1">
      <c r="B8" s="5"/>
      <c r="C8" s="42" t="s">
        <v>30</v>
      </c>
      <c r="D8" s="38">
        <v>104</v>
      </c>
      <c r="E8" s="29" t="s">
        <v>85</v>
      </c>
      <c r="F8" s="38">
        <v>1200</v>
      </c>
      <c r="G8" s="29" t="s">
        <v>86</v>
      </c>
      <c r="H8" s="5"/>
      <c r="I8" s="26" t="s">
        <v>23</v>
      </c>
      <c r="J8" s="27" t="s">
        <v>64</v>
      </c>
      <c r="K8" s="27" t="s">
        <v>64</v>
      </c>
      <c r="L8" s="27" t="s">
        <v>86</v>
      </c>
      <c r="M8" s="19" t="s">
        <v>86</v>
      </c>
      <c r="N8" s="5"/>
    </row>
    <row r="9" spans="2:17" ht="14.4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7" ht="14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ht="14.4">
      <c r="C11" s="18" t="s">
        <v>51</v>
      </c>
      <c r="I11" s="18" t="s">
        <v>57</v>
      </c>
    </row>
    <row r="12" spans="2:17" ht="15" customHeight="1">
      <c r="C12" s="12" t="s">
        <v>15</v>
      </c>
      <c r="D12" s="14" t="s">
        <v>23</v>
      </c>
      <c r="E12" s="21" t="s">
        <v>22</v>
      </c>
      <c r="I12" s="12" t="s">
        <v>15</v>
      </c>
      <c r="J12" s="14" t="s">
        <v>23</v>
      </c>
      <c r="K12" s="21" t="s">
        <v>22</v>
      </c>
    </row>
    <row r="13" spans="2:17" ht="14.4">
      <c r="C13" s="22" t="s">
        <v>24</v>
      </c>
      <c r="D13" s="3" t="str">
        <f>VLOOKUP(C13,$C$4:$G$8,5,FALSE)</f>
        <v>Electronics</v>
      </c>
      <c r="E13" s="3">
        <f>VLOOKUP(C13,$C$4:$G$8,4,FALSE)</f>
        <v>2500</v>
      </c>
      <c r="I13" s="22" t="s">
        <v>24</v>
      </c>
      <c r="J13" s="3" t="str">
        <f>HLOOKUP($I$13,$I$4:$M$8,5,FALSE)</f>
        <v>Electronics</v>
      </c>
      <c r="K13" s="3">
        <f>HLOOKUP(I13,'lOOKUP &amp; REFFERENCE'!$I$4:$M$8,4,FALSE)</f>
        <v>2500</v>
      </c>
    </row>
    <row r="14" spans="2:17" ht="15" customHeight="1">
      <c r="I14" s="36" t="s">
        <v>28</v>
      </c>
      <c r="J14" t="str">
        <f>HLOOKUP(I14,$I$4:$M$8,5,FALSE)</f>
        <v>Accessories</v>
      </c>
      <c r="K14">
        <f>HLOOKUP($I$14,$I$4:$M$8,4,FALSE)</f>
        <v>800</v>
      </c>
    </row>
    <row r="15" spans="2:17" ht="14.4">
      <c r="C15" s="18" t="s">
        <v>63</v>
      </c>
      <c r="I15" s="36" t="s">
        <v>27</v>
      </c>
      <c r="J15" t="str">
        <f>HLOOKUP(I15,$I$4:$M$8,5,FALSE)</f>
        <v>Electronics</v>
      </c>
      <c r="K15">
        <f>HLOOKUP(I15,$I$4:$M$8,4,FALSE)</f>
        <v>1500</v>
      </c>
    </row>
    <row r="16" spans="2:17" ht="15" customHeight="1">
      <c r="C16" s="12" t="s">
        <v>15</v>
      </c>
      <c r="D16" s="14" t="s">
        <v>23</v>
      </c>
      <c r="E16" s="21" t="s">
        <v>22</v>
      </c>
      <c r="I16" s="36"/>
    </row>
    <row r="17" spans="3:5" ht="14.4">
      <c r="C17" s="22" t="s">
        <v>24</v>
      </c>
      <c r="D17" s="3" t="str">
        <f>_xlfn.XLOOKUP($C$17,$C$4:$C$8,$G$4:$G$8)</f>
        <v>Electronics</v>
      </c>
      <c r="E17" s="3" cm="1">
        <f t="array" ref="E17">_xlfn.XLOOKUP($C$17,$C$4:C$8,F$4:F$8)</f>
        <v>2500</v>
      </c>
    </row>
    <row r="19" spans="3:5" ht="14.4">
      <c r="C19" s="18" t="s">
        <v>87</v>
      </c>
    </row>
    <row r="20" spans="3:5" ht="15" customHeight="1">
      <c r="C20" s="12" t="s">
        <v>15</v>
      </c>
      <c r="D20" s="14" t="s">
        <v>23</v>
      </c>
      <c r="E20" s="21" t="s">
        <v>22</v>
      </c>
    </row>
    <row r="21" spans="3:5" ht="14.4">
      <c r="C21" s="22" t="s">
        <v>24</v>
      </c>
      <c r="D21" s="3" t="str">
        <f>INDEX($C$4:$G$8,2,5)</f>
        <v>Electronics</v>
      </c>
      <c r="E21" s="3">
        <f>INDEX($C$4:$G$8,2,4)</f>
        <v>2500</v>
      </c>
    </row>
    <row r="22" spans="3:5" ht="15" customHeight="1">
      <c r="D22" t="str">
        <f>INDEX($C$4:$G$8,MATCH(C21,$C$4:$C$8,0),MATCH(D20,$C$4:$G$4,0))</f>
        <v>Electronics</v>
      </c>
      <c r="E22">
        <f>INDEX($C$4:$G$8,MATCH(C21,$C$4:$C$8,0),MATCH(E20,$C$4:$G$4,0))</f>
        <v>2500</v>
      </c>
    </row>
  </sheetData>
  <mergeCells count="1">
    <mergeCell ref="D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Today</vt:lpstr>
      <vt:lpstr>YEAR,MONTH,DATEDIF,..</vt:lpstr>
      <vt:lpstr>lOOKUP &amp; REFFERENCE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fathima ma</cp:lastModifiedBy>
  <dcterms:created xsi:type="dcterms:W3CDTF">2025-01-02T05:42:00Z</dcterms:created>
  <dcterms:modified xsi:type="dcterms:W3CDTF">2026-10-28T10:24:49Z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2B390C83EF4D4E3C89DC1F0AC00A5F8D_11</vt:lpwstr>
  </property>
  <property fmtid="{D5CDD505-2E9C-101B-9397-08002B2CF9AE}" pid="3" name="KSOProductBuildVer">
    <vt:lpwstr>1033-12.2.0.18639</vt:lpwstr>
  </property>
</Properties>
</file>