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172" documentId="8_{1411FAEC-170A-4148-9DF9-BFA541EE28E6}" xr6:coauthVersionLast="47" xr6:coauthVersionMax="47" xr10:uidLastSave="{CEE8D818-2D42-4DAC-BA33-8AB92EFD8B15}"/>
  <bookViews>
    <workbookView xWindow="2964" yWindow="1368" windowWidth="17280" windowHeight="8880" firstSheet="6" activeTab="6" xr2:uid="{00000000-000D-0000-FFFF-FFFF00000000}"/>
  </bookViews>
  <sheets>
    <sheet name="Today" sheetId="1" r:id="rId1"/>
    <sheet name="1.Splitting and merging data" sheetId="2" r:id="rId2"/>
    <sheet name="2.Data Validation" sheetId="3" r:id="rId3"/>
    <sheet name="Validation Lists" sheetId="4" r:id="rId4"/>
    <sheet name="5.moving unnecessary characters" sheetId="5" r:id="rId5"/>
    <sheet name="6.Conditional formatting" sheetId="6" r:id="rId6"/>
    <sheet name="3.Data transformation" sheetId="7" r:id="rId7"/>
    <sheet name="Scenario Summary" sheetId="9" r:id="rId8"/>
    <sheet name="4.Scenario_Main" sheetId="8" r:id="rId9"/>
  </sheets>
  <externalReferences>
    <externalReference r:id="rId10"/>
    <externalReference r:id="rId11"/>
    <externalReference r:id="rId12"/>
    <externalReference r:id="rId13"/>
  </externalReferences>
  <definedNames>
    <definedName name="A">#REF!</definedName>
    <definedName name="Amount">[1]FORMULA!$B$2:$B$8</definedName>
    <definedName name="Arshid">'[2]Name Manager'!$G$12:$G$18</definedName>
    <definedName name="AT">'[3]Basic Function'!$D$5:$D$12</definedName>
    <definedName name="B">#REF!</definedName>
    <definedName name="BATCH1">'[4]VLOOKUP with Exact Match'!$A$5:$D$12</definedName>
    <definedName name="C_">#REF!</definedName>
    <definedName name="Price">#REF!</definedName>
    <definedName name="Price_per_Unit">#REF!</definedName>
    <definedName name="PriceOfA">#REF!</definedName>
    <definedName name="PriceOfB">#REF!</definedName>
    <definedName name="PriceOfC">#REF!</definedName>
    <definedName name="Product">#REF!</definedName>
    <definedName name="RevenueA">#REF!</definedName>
    <definedName name="RevenueB">#REF!</definedName>
    <definedName name="RevenueC">#REF!</definedName>
    <definedName name="Total_Revenue">#REF!</definedName>
    <definedName name="TotalRevenue">#REF!</definedName>
    <definedName name="TotalRevenueA">#REF!</definedName>
    <definedName name="UnitOfA">#REF!</definedName>
    <definedName name="UnitOfB">#REF!</definedName>
    <definedName name="UnitOfC">#REF!</definedName>
    <definedName name="Units">#REF!</definedName>
    <definedName name="Units_Sold">#REF!</definedName>
    <definedName name="V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/LreHwOPPlW7toPe7OShgSm/oBXFtC23243RMu7f8P4="/>
    </ext>
  </extLst>
</workbook>
</file>

<file path=xl/calcChain.xml><?xml version="1.0" encoding="utf-8"?>
<calcChain xmlns="http://schemas.openxmlformats.org/spreadsheetml/2006/main">
  <c r="N4" i="7" l="1"/>
  <c r="O5" i="7"/>
  <c r="P5" i="7" s="1"/>
  <c r="O6" i="7"/>
  <c r="O7" i="7"/>
  <c r="O8" i="7"/>
  <c r="O9" i="7"/>
  <c r="O10" i="7"/>
  <c r="O11" i="7"/>
  <c r="O12" i="7"/>
  <c r="O13" i="7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O22" i="7"/>
  <c r="O23" i="7"/>
  <c r="O24" i="7"/>
  <c r="O25" i="7"/>
  <c r="P25" i="7" s="1"/>
  <c r="O26" i="7"/>
  <c r="P26" i="7" s="1"/>
  <c r="O27" i="7"/>
  <c r="P27" i="7" s="1"/>
  <c r="O28" i="7"/>
  <c r="P28" i="7" s="1"/>
  <c r="O29" i="7"/>
  <c r="P29" i="7" s="1"/>
  <c r="O30" i="7"/>
  <c r="P30" i="7" s="1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O39" i="7"/>
  <c r="O40" i="7"/>
  <c r="O41" i="7"/>
  <c r="O42" i="7"/>
  <c r="O43" i="7"/>
  <c r="O44" i="7"/>
  <c r="P44" i="7" s="1"/>
  <c r="O45" i="7"/>
  <c r="P45" i="7" s="1"/>
  <c r="O46" i="7"/>
  <c r="P46" i="7" s="1"/>
  <c r="O47" i="7"/>
  <c r="P47" i="7" s="1"/>
  <c r="O48" i="7"/>
  <c r="P48" i="7" s="1"/>
  <c r="O49" i="7"/>
  <c r="P49" i="7" s="1"/>
  <c r="O50" i="7"/>
  <c r="P50" i="7" s="1"/>
  <c r="O51" i="7"/>
  <c r="P51" i="7" s="1"/>
  <c r="O52" i="7"/>
  <c r="P52" i="7" s="1"/>
  <c r="O53" i="7"/>
  <c r="O54" i="7"/>
  <c r="O55" i="7"/>
  <c r="O56" i="7"/>
  <c r="O57" i="7"/>
  <c r="P57" i="7" s="1"/>
  <c r="O58" i="7"/>
  <c r="P58" i="7" s="1"/>
  <c r="O59" i="7"/>
  <c r="P59" i="7" s="1"/>
  <c r="O60" i="7"/>
  <c r="P60" i="7" s="1"/>
  <c r="O61" i="7"/>
  <c r="P61" i="7" s="1"/>
  <c r="O62" i="7"/>
  <c r="P62" i="7" s="1"/>
  <c r="O63" i="7"/>
  <c r="P63" i="7" s="1"/>
  <c r="O64" i="7"/>
  <c r="P64" i="7" s="1"/>
  <c r="O65" i="7"/>
  <c r="P65" i="7" s="1"/>
  <c r="O66" i="7"/>
  <c r="P66" i="7" s="1"/>
  <c r="O67" i="7"/>
  <c r="P67" i="7" s="1"/>
  <c r="O68" i="7"/>
  <c r="P68" i="7" s="1"/>
  <c r="O69" i="7"/>
  <c r="P69" i="7" s="1"/>
  <c r="O70" i="7"/>
  <c r="O71" i="7"/>
  <c r="O72" i="7"/>
  <c r="O73" i="7"/>
  <c r="O74" i="7"/>
  <c r="P74" i="7" s="1"/>
  <c r="O75" i="7"/>
  <c r="P75" i="7" s="1"/>
  <c r="O76" i="7"/>
  <c r="P76" i="7" s="1"/>
  <c r="O77" i="7"/>
  <c r="P77" i="7" s="1"/>
  <c r="O78" i="7"/>
  <c r="P78" i="7" s="1"/>
  <c r="O79" i="7"/>
  <c r="P79" i="7" s="1"/>
  <c r="O80" i="7"/>
  <c r="P80" i="7" s="1"/>
  <c r="O81" i="7"/>
  <c r="P81" i="7" s="1"/>
  <c r="O82" i="7"/>
  <c r="P82" i="7" s="1"/>
  <c r="O83" i="7"/>
  <c r="P83" i="7" s="1"/>
  <c r="O84" i="7"/>
  <c r="P84" i="7" s="1"/>
  <c r="O85" i="7"/>
  <c r="P85" i="7" s="1"/>
  <c r="O86" i="7"/>
  <c r="O87" i="7"/>
  <c r="P87" i="7" s="1"/>
  <c r="O88" i="7"/>
  <c r="O89" i="7"/>
  <c r="O90" i="7"/>
  <c r="P90" i="7" s="1"/>
  <c r="O91" i="7"/>
  <c r="P91" i="7" s="1"/>
  <c r="O92" i="7"/>
  <c r="P92" i="7" s="1"/>
  <c r="O93" i="7"/>
  <c r="P93" i="7" s="1"/>
  <c r="O94" i="7"/>
  <c r="P94" i="7" s="1"/>
  <c r="O95" i="7"/>
  <c r="P95" i="7" s="1"/>
  <c r="O96" i="7"/>
  <c r="P96" i="7" s="1"/>
  <c r="O97" i="7"/>
  <c r="P97" i="7" s="1"/>
  <c r="O98" i="7"/>
  <c r="P98" i="7" s="1"/>
  <c r="O99" i="7"/>
  <c r="P99" i="7" s="1"/>
  <c r="O100" i="7"/>
  <c r="P100" i="7" s="1"/>
  <c r="O101" i="7"/>
  <c r="P101" i="7" s="1"/>
  <c r="O102" i="7"/>
  <c r="O103" i="7"/>
  <c r="O104" i="7"/>
  <c r="P104" i="7" s="1"/>
  <c r="O105" i="7"/>
  <c r="P105" i="7" s="1"/>
  <c r="O106" i="7"/>
  <c r="P106" i="7" s="1"/>
  <c r="O107" i="7"/>
  <c r="P107" i="7" s="1"/>
  <c r="O108" i="7"/>
  <c r="P108" i="7" s="1"/>
  <c r="O109" i="7"/>
  <c r="P109" i="7" s="1"/>
  <c r="O110" i="7"/>
  <c r="P110" i="7" s="1"/>
  <c r="O111" i="7"/>
  <c r="P111" i="7" s="1"/>
  <c r="O112" i="7"/>
  <c r="P112" i="7" s="1"/>
  <c r="O113" i="7"/>
  <c r="P113" i="7" s="1"/>
  <c r="O114" i="7"/>
  <c r="P114" i="7" s="1"/>
  <c r="O115" i="7"/>
  <c r="P115" i="7" s="1"/>
  <c r="O116" i="7"/>
  <c r="P116" i="7" s="1"/>
  <c r="O117" i="7"/>
  <c r="P117" i="7" s="1"/>
  <c r="O118" i="7"/>
  <c r="O119" i="7"/>
  <c r="O120" i="7"/>
  <c r="P120" i="7" s="1"/>
  <c r="O121" i="7"/>
  <c r="P121" i="7" s="1"/>
  <c r="O122" i="7"/>
  <c r="P122" i="7" s="1"/>
  <c r="O123" i="7"/>
  <c r="P123" i="7" s="1"/>
  <c r="O124" i="7"/>
  <c r="P124" i="7" s="1"/>
  <c r="O125" i="7"/>
  <c r="P125" i="7" s="1"/>
  <c r="O126" i="7"/>
  <c r="P126" i="7" s="1"/>
  <c r="O127" i="7"/>
  <c r="P127" i="7" s="1"/>
  <c r="O128" i="7"/>
  <c r="P128" i="7" s="1"/>
  <c r="O129" i="7"/>
  <c r="P129" i="7" s="1"/>
  <c r="O130" i="7"/>
  <c r="P130" i="7" s="1"/>
  <c r="O131" i="7"/>
  <c r="P131" i="7" s="1"/>
  <c r="O132" i="7"/>
  <c r="P132" i="7" s="1"/>
  <c r="O133" i="7"/>
  <c r="O134" i="7"/>
  <c r="P134" i="7" s="1"/>
  <c r="O135" i="7"/>
  <c r="P135" i="7" s="1"/>
  <c r="O136" i="7"/>
  <c r="P136" i="7" s="1"/>
  <c r="O137" i="7"/>
  <c r="P137" i="7" s="1"/>
  <c r="O138" i="7"/>
  <c r="P138" i="7" s="1"/>
  <c r="O139" i="7"/>
  <c r="P139" i="7" s="1"/>
  <c r="O140" i="7"/>
  <c r="P140" i="7" s="1"/>
  <c r="O141" i="7"/>
  <c r="P141" i="7" s="1"/>
  <c r="O142" i="7"/>
  <c r="P142" i="7" s="1"/>
  <c r="O143" i="7"/>
  <c r="P143" i="7" s="1"/>
  <c r="O144" i="7"/>
  <c r="P144" i="7" s="1"/>
  <c r="O145" i="7"/>
  <c r="P145" i="7" s="1"/>
  <c r="O146" i="7"/>
  <c r="P146" i="7" s="1"/>
  <c r="O147" i="7"/>
  <c r="P147" i="7" s="1"/>
  <c r="O148" i="7"/>
  <c r="P148" i="7" s="1"/>
  <c r="O149" i="7"/>
  <c r="P149" i="7" s="1"/>
  <c r="O150" i="7"/>
  <c r="O151" i="7"/>
  <c r="O152" i="7"/>
  <c r="P152" i="7" s="1"/>
  <c r="O153" i="7"/>
  <c r="O154" i="7"/>
  <c r="P154" i="7" s="1"/>
  <c r="O155" i="7"/>
  <c r="P155" i="7" s="1"/>
  <c r="O156" i="7"/>
  <c r="P156" i="7" s="1"/>
  <c r="O157" i="7"/>
  <c r="P157" i="7" s="1"/>
  <c r="O158" i="7"/>
  <c r="P158" i="7" s="1"/>
  <c r="O159" i="7"/>
  <c r="P159" i="7" s="1"/>
  <c r="O160" i="7"/>
  <c r="P160" i="7" s="1"/>
  <c r="O161" i="7"/>
  <c r="P161" i="7" s="1"/>
  <c r="O162" i="7"/>
  <c r="P162" i="7" s="1"/>
  <c r="O163" i="7"/>
  <c r="P163" i="7" s="1"/>
  <c r="O164" i="7"/>
  <c r="P164" i="7" s="1"/>
  <c r="O165" i="7"/>
  <c r="P165" i="7" s="1"/>
  <c r="O166" i="7"/>
  <c r="O167" i="7"/>
  <c r="O168" i="7"/>
  <c r="P168" i="7" s="1"/>
  <c r="O169" i="7"/>
  <c r="O170" i="7"/>
  <c r="P170" i="7" s="1"/>
  <c r="O171" i="7"/>
  <c r="P171" i="7" s="1"/>
  <c r="O172" i="7"/>
  <c r="P172" i="7" s="1"/>
  <c r="O173" i="7"/>
  <c r="O174" i="7"/>
  <c r="P174" i="7" s="1"/>
  <c r="O175" i="7"/>
  <c r="P175" i="7" s="1"/>
  <c r="O176" i="7"/>
  <c r="P176" i="7" s="1"/>
  <c r="O177" i="7"/>
  <c r="P177" i="7" s="1"/>
  <c r="O178" i="7"/>
  <c r="P178" i="7" s="1"/>
  <c r="O179" i="7"/>
  <c r="P179" i="7" s="1"/>
  <c r="O180" i="7"/>
  <c r="P180" i="7" s="1"/>
  <c r="O181" i="7"/>
  <c r="P181" i="7" s="1"/>
  <c r="O182" i="7"/>
  <c r="O183" i="7"/>
  <c r="O184" i="7"/>
  <c r="P184" i="7" s="1"/>
  <c r="O185" i="7"/>
  <c r="P185" i="7" s="1"/>
  <c r="O186" i="7"/>
  <c r="P186" i="7" s="1"/>
  <c r="O187" i="7"/>
  <c r="P187" i="7" s="1"/>
  <c r="O188" i="7"/>
  <c r="P188" i="7" s="1"/>
  <c r="O189" i="7"/>
  <c r="P189" i="7" s="1"/>
  <c r="O190" i="7"/>
  <c r="P190" i="7" s="1"/>
  <c r="O191" i="7"/>
  <c r="P191" i="7" s="1"/>
  <c r="O192" i="7"/>
  <c r="P192" i="7" s="1"/>
  <c r="O193" i="7"/>
  <c r="P193" i="7" s="1"/>
  <c r="O194" i="7"/>
  <c r="P194" i="7" s="1"/>
  <c r="O195" i="7"/>
  <c r="P195" i="7" s="1"/>
  <c r="O196" i="7"/>
  <c r="P196" i="7" s="1"/>
  <c r="O197" i="7"/>
  <c r="P197" i="7" s="1"/>
  <c r="O198" i="7"/>
  <c r="O199" i="7"/>
  <c r="O200" i="7"/>
  <c r="P200" i="7" s="1"/>
  <c r="O201" i="7"/>
  <c r="P201" i="7" s="1"/>
  <c r="O202" i="7"/>
  <c r="O203" i="7"/>
  <c r="P203" i="7" s="1"/>
  <c r="P6" i="7"/>
  <c r="P7" i="7"/>
  <c r="P8" i="7"/>
  <c r="P9" i="7"/>
  <c r="P10" i="7"/>
  <c r="P11" i="7"/>
  <c r="P12" i="7"/>
  <c r="P13" i="7"/>
  <c r="P21" i="7"/>
  <c r="P22" i="7"/>
  <c r="P23" i="7"/>
  <c r="P24" i="7"/>
  <c r="P38" i="7"/>
  <c r="P39" i="7"/>
  <c r="P40" i="7"/>
  <c r="P41" i="7"/>
  <c r="P42" i="7"/>
  <c r="P43" i="7"/>
  <c r="P53" i="7"/>
  <c r="P54" i="7"/>
  <c r="P55" i="7"/>
  <c r="P56" i="7"/>
  <c r="P70" i="7"/>
  <c r="P71" i="7"/>
  <c r="P72" i="7"/>
  <c r="P73" i="7"/>
  <c r="P86" i="7"/>
  <c r="P88" i="7"/>
  <c r="P89" i="7"/>
  <c r="P102" i="7"/>
  <c r="P103" i="7"/>
  <c r="P118" i="7"/>
  <c r="P119" i="7"/>
  <c r="P133" i="7"/>
  <c r="P150" i="7"/>
  <c r="P151" i="7"/>
  <c r="P153" i="7"/>
  <c r="P166" i="7"/>
  <c r="P167" i="7"/>
  <c r="P169" i="7"/>
  <c r="P173" i="7"/>
  <c r="P182" i="7"/>
  <c r="P183" i="7"/>
  <c r="P198" i="7"/>
  <c r="P199" i="7"/>
  <c r="P202" i="7"/>
  <c r="O4" i="7"/>
  <c r="P4" i="7" s="1"/>
  <c r="M5" i="5"/>
  <c r="M6" i="5"/>
  <c r="M7" i="5"/>
  <c r="M4" i="5"/>
  <c r="J9" i="5"/>
  <c r="J8" i="5"/>
  <c r="K4" i="5"/>
  <c r="K5" i="5"/>
  <c r="K6" i="5"/>
  <c r="K7" i="5"/>
  <c r="I4" i="5"/>
  <c r="I5" i="5"/>
  <c r="I6" i="5"/>
  <c r="I7" i="5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27" i="2"/>
  <c r="E28" i="2"/>
  <c r="E29" i="2"/>
  <c r="E30" i="2"/>
  <c r="E3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4" i="2"/>
  <c r="C6" i="8"/>
  <c r="Q9" i="7"/>
  <c r="Q8" i="7"/>
  <c r="Q7" i="7"/>
  <c r="Q6" i="7"/>
  <c r="Q5" i="7"/>
  <c r="Q4" i="7"/>
  <c r="P2" i="7" l="1"/>
  <c r="O2" i="7"/>
  <c r="K9" i="5"/>
</calcChain>
</file>

<file path=xl/sharedStrings.xml><?xml version="1.0" encoding="utf-8"?>
<sst xmlns="http://schemas.openxmlformats.org/spreadsheetml/2006/main" count="4384" uniqueCount="1762">
  <si>
    <t>DATA VALIDATION FOR DATA ENTRY</t>
  </si>
  <si>
    <t>MERGING &amp; SPLITTING</t>
  </si>
  <si>
    <t>Gender</t>
  </si>
  <si>
    <t>NO.</t>
  </si>
  <si>
    <t>Course</t>
  </si>
  <si>
    <t>Male</t>
  </si>
  <si>
    <t>Data Analytics</t>
  </si>
  <si>
    <t>Female</t>
  </si>
  <si>
    <t>Python</t>
  </si>
  <si>
    <t>Other</t>
  </si>
  <si>
    <t>Excel</t>
  </si>
  <si>
    <t>Power BI</t>
  </si>
  <si>
    <t>Employee ID</t>
  </si>
  <si>
    <t>First Name</t>
  </si>
  <si>
    <t>Last Name</t>
  </si>
  <si>
    <t>Full Name</t>
  </si>
  <si>
    <t>Address</t>
  </si>
  <si>
    <t>Topic</t>
  </si>
  <si>
    <t>Student ID</t>
  </si>
  <si>
    <t>Arun</t>
  </si>
  <si>
    <t>Singh</t>
  </si>
  <si>
    <t>Simple Description</t>
  </si>
  <si>
    <t>927186, Chennai</t>
  </si>
  <si>
    <t>Marks</t>
  </si>
  <si>
    <t>Diya</t>
  </si>
  <si>
    <t>242164, Pune</t>
  </si>
  <si>
    <t>Kiran</t>
  </si>
  <si>
    <t>Splitting and Merging Data</t>
  </si>
  <si>
    <t>Menon</t>
  </si>
  <si>
    <t>236831, Chennai</t>
  </si>
  <si>
    <t>Splitting divides data into multiple columns, while merging combines data from different columns or tables.</t>
  </si>
  <si>
    <t>Sneha</t>
  </si>
  <si>
    <t>Data Validation</t>
  </si>
  <si>
    <t>Nair</t>
  </si>
  <si>
    <t>Restricts the type of data users can enter into a cell, such as numbers, dates, or values from a dropdown list.</t>
  </si>
  <si>
    <t>976937, Pune</t>
  </si>
  <si>
    <t>Data Transformation</t>
  </si>
  <si>
    <t>Changes data into a suitable format for analysis, such as converting text to dates or changing text case.</t>
  </si>
  <si>
    <t>Scenario Manager</t>
  </si>
  <si>
    <t>Tom</t>
  </si>
  <si>
    <t>An Excel What-If Analysis tool that compares different sets of input values to understand their impact on results.</t>
  </si>
  <si>
    <t>988590, Bangalore</t>
  </si>
  <si>
    <t>Removing Unnecessary Characters and Spaces</t>
  </si>
  <si>
    <t>Removes extra spaces and unwanted characters from data using functions such as TRIM, CLEAN, and SUBSTITUTE.</t>
  </si>
  <si>
    <t>Anu</t>
  </si>
  <si>
    <t>Conditional Formatting for Data Cleaning</t>
  </si>
  <si>
    <t>Sharma</t>
  </si>
  <si>
    <t>Highlights duplicate values, blank cells, invalid entries, or unusual values using specific formatting rules.</t>
  </si>
  <si>
    <t>384866, Bangalore</t>
  </si>
  <si>
    <t>Patel</t>
  </si>
  <si>
    <t>983307, Pune</t>
  </si>
  <si>
    <t>Rahul</t>
  </si>
  <si>
    <t>348978, Mumbai</t>
  </si>
  <si>
    <t>Kumar</t>
  </si>
  <si>
    <t>984502, Bangalore</t>
  </si>
  <si>
    <t>Amit</t>
  </si>
  <si>
    <t>370732, Mumbai</t>
  </si>
  <si>
    <t>Yadav</t>
  </si>
  <si>
    <t>395920, Mumbai</t>
  </si>
  <si>
    <t>780056, Delhi</t>
  </si>
  <si>
    <t>808892, Bangalore</t>
  </si>
  <si>
    <t>Jack</t>
  </si>
  <si>
    <t>529309, Pune</t>
  </si>
  <si>
    <t>639092, Bangalore</t>
  </si>
  <si>
    <t>430585, Bangalore</t>
  </si>
  <si>
    <t>269324, Delhi</t>
  </si>
  <si>
    <t>536300, Chennai</t>
  </si>
  <si>
    <t>Neha</t>
  </si>
  <si>
    <t>254899, Bangalore</t>
  </si>
  <si>
    <t>939700, Kolkata</t>
  </si>
  <si>
    <t>196198, Kolkata</t>
  </si>
  <si>
    <t>876672, Chennai</t>
  </si>
  <si>
    <t>562019, Hyderabad</t>
  </si>
  <si>
    <t>455307, Hyderabad</t>
  </si>
  <si>
    <t>775795, Mumbai</t>
  </si>
  <si>
    <t>Reddy</t>
  </si>
  <si>
    <t>155751, Hyderabad</t>
  </si>
  <si>
    <t>423370, Delhi</t>
  </si>
  <si>
    <t>349937, Pune</t>
  </si>
  <si>
    <t>723701, Pune</t>
  </si>
  <si>
    <t>336151, Hyderabad</t>
  </si>
  <si>
    <t>771583, Bangalore</t>
  </si>
  <si>
    <t>236415, Mumbai</t>
  </si>
  <si>
    <t>Das</t>
  </si>
  <si>
    <t>602744, Pune</t>
  </si>
  <si>
    <t>510260, Mumbai</t>
  </si>
  <si>
    <t>790720, Kolkata</t>
  </si>
  <si>
    <t>376815, Pune</t>
  </si>
  <si>
    <t>256044, Mumbai</t>
  </si>
  <si>
    <t>Kapoor</t>
  </si>
  <si>
    <t>734883, Mumbai</t>
  </si>
  <si>
    <t>676224, Bangalore</t>
  </si>
  <si>
    <t>355472, Kolkata</t>
  </si>
  <si>
    <t>682691, Pune</t>
  </si>
  <si>
    <t>794149, Kolkata</t>
  </si>
  <si>
    <t>447181, Pune</t>
  </si>
  <si>
    <t>615885, Chennai</t>
  </si>
  <si>
    <t>932736, Bangalore</t>
  </si>
  <si>
    <t>597827, Mumbai</t>
  </si>
  <si>
    <t>777093, Kolkata</t>
  </si>
  <si>
    <t>558470, Hyderabad</t>
  </si>
  <si>
    <t>898751, Delhi</t>
  </si>
  <si>
    <t>171994, Bangalore</t>
  </si>
  <si>
    <t>836019, Pune</t>
  </si>
  <si>
    <t>440865, Kolkata</t>
  </si>
  <si>
    <t>498244, Mumbai</t>
  </si>
  <si>
    <t>404842, Pune</t>
  </si>
  <si>
    <t>241002, Pune</t>
  </si>
  <si>
    <t>523296, Mumbai</t>
  </si>
  <si>
    <t>626208, Delhi</t>
  </si>
  <si>
    <t>752579, Pune</t>
  </si>
  <si>
    <t>784339, Kolkata</t>
  </si>
  <si>
    <t>930434, Delhi</t>
  </si>
  <si>
    <t>451713, Mumbai</t>
  </si>
  <si>
    <t>122890, Hyderabad</t>
  </si>
  <si>
    <t>605809, Kolkata</t>
  </si>
  <si>
    <t>291032, Mumbai</t>
  </si>
  <si>
    <t>882048, Mumbai</t>
  </si>
  <si>
    <t>392519, Mumbai</t>
  </si>
  <si>
    <t>151204, Bangalore</t>
  </si>
  <si>
    <t>964343, Kolkata</t>
  </si>
  <si>
    <t>488302, Chennai</t>
  </si>
  <si>
    <t>432179, Bangalore</t>
  </si>
  <si>
    <t>656546, Bangalore</t>
  </si>
  <si>
    <t>TRIM()</t>
  </si>
  <si>
    <t>361119, Mumbai</t>
  </si>
  <si>
    <t>Remove Extra spaces</t>
  </si>
  <si>
    <t>974579, Mumbai</t>
  </si>
  <si>
    <t>Product</t>
  </si>
  <si>
    <t>360164, Delhi</t>
  </si>
  <si>
    <t>Price</t>
  </si>
  <si>
    <t>Category</t>
  </si>
  <si>
    <t>CLEAN()</t>
  </si>
  <si>
    <t>670259, Delhi</t>
  </si>
  <si>
    <t>Remove non printable charecters.</t>
  </si>
  <si>
    <t>Head  Set</t>
  </si>
  <si>
    <t>473751, Mumbai</t>
  </si>
  <si>
    <t xml:space="preserve">1158.68 </t>
  </si>
  <si>
    <t xml:space="preserve"> Electronics-Accessories</t>
  </si>
  <si>
    <t>SUBSTITUTE()</t>
  </si>
  <si>
    <t>Substitute the unwanted charecters</t>
  </si>
  <si>
    <t>321997, Hyderabad</t>
  </si>
  <si>
    <t>Smart  Watch</t>
  </si>
  <si>
    <t xml:space="preserve">1285.36 </t>
  </si>
  <si>
    <t>Electronics-Wearables</t>
  </si>
  <si>
    <t>571922, Mumbai</t>
  </si>
  <si>
    <t xml:space="preserve">  Bluetooth  Speaker</t>
  </si>
  <si>
    <t xml:space="preserve">139.05 </t>
  </si>
  <si>
    <t>Electronuics-Audio</t>
  </si>
  <si>
    <t>963262, Mumbai</t>
  </si>
  <si>
    <t>LED  207</t>
  </si>
  <si>
    <t xml:space="preserve">107.87 </t>
  </si>
  <si>
    <t>Accessories-Gaming</t>
  </si>
  <si>
    <t>550942, Kolkata</t>
  </si>
  <si>
    <t>770862, Kolkata</t>
  </si>
  <si>
    <t>574338, Hyderabad</t>
  </si>
  <si>
    <t>667724, Chennai</t>
  </si>
  <si>
    <t>585755, Kolkata</t>
  </si>
  <si>
    <t>866056, Bangalore</t>
  </si>
  <si>
    <t>162320, Pune</t>
  </si>
  <si>
    <t>101011, Bangalore</t>
  </si>
  <si>
    <t>382960, Pune</t>
  </si>
  <si>
    <t>400604, Pune</t>
  </si>
  <si>
    <t>852166, Hyderabad</t>
  </si>
  <si>
    <t>537782, Bangalore</t>
  </si>
  <si>
    <t>119595, Kolkata</t>
  </si>
  <si>
    <t>309876, Hyderabad</t>
  </si>
  <si>
    <t>398900, Chennai</t>
  </si>
  <si>
    <t>952265, Chennai</t>
  </si>
  <si>
    <t>150174, Pune</t>
  </si>
  <si>
    <t>584492, Delhi</t>
  </si>
  <si>
    <t>820449, Kolkata</t>
  </si>
  <si>
    <t>211201, Chennai</t>
  </si>
  <si>
    <t>743061, Pune</t>
  </si>
  <si>
    <t>654784, Hyderabad</t>
  </si>
  <si>
    <t>944956, Bangalore</t>
  </si>
  <si>
    <t>CONDITIONAL FORMATING</t>
  </si>
  <si>
    <t>796933, Chennai</t>
  </si>
  <si>
    <t>672390, Pune</t>
  </si>
  <si>
    <t>769101, Delhi</t>
  </si>
  <si>
    <t>Product ID</t>
  </si>
  <si>
    <t>411031, Hyderabad</t>
  </si>
  <si>
    <t>450660, Kolkata</t>
  </si>
  <si>
    <t>Product Name</t>
  </si>
  <si>
    <t>Units Sold</t>
  </si>
  <si>
    <t>Sales Amount (₹)</t>
  </si>
  <si>
    <t>Profit (₹)</t>
  </si>
  <si>
    <t>457862, Mumbai</t>
  </si>
  <si>
    <t>Stock Status</t>
  </si>
  <si>
    <t>Rating</t>
  </si>
  <si>
    <t>P001</t>
  </si>
  <si>
    <t>334859, Delhi</t>
  </si>
  <si>
    <t>Laptop Pro X</t>
  </si>
  <si>
    <t>483112, Bangalore</t>
  </si>
  <si>
    <t>Electronics</t>
  </si>
  <si>
    <t>379683, Hyderabad</t>
  </si>
  <si>
    <t>In Stock</t>
  </si>
  <si>
    <t>438885, Hyderabad</t>
  </si>
  <si>
    <t>P002</t>
  </si>
  <si>
    <t>Wireless Mouse</t>
  </si>
  <si>
    <t>Accessories</t>
  </si>
  <si>
    <t>647426, Delhi</t>
  </si>
  <si>
    <t>P003</t>
  </si>
  <si>
    <t>Gaming Headset</t>
  </si>
  <si>
    <t>Audio</t>
  </si>
  <si>
    <t>445317, Mumbai</t>
  </si>
  <si>
    <t>Low Stock</t>
  </si>
  <si>
    <t>P004</t>
  </si>
  <si>
    <t>Smartwatch V3</t>
  </si>
  <si>
    <t>Wearables</t>
  </si>
  <si>
    <t>520865, Chennai</t>
  </si>
  <si>
    <t>P005</t>
  </si>
  <si>
    <t>Bluetooth Speaker</t>
  </si>
  <si>
    <t>809639, Kolkata</t>
  </si>
  <si>
    <t>Out of Stock</t>
  </si>
  <si>
    <t>P006</t>
  </si>
  <si>
    <t>117752, Mumbai</t>
  </si>
  <si>
    <t>Mechanical Keyboard</t>
  </si>
  <si>
    <t>612882, Hyderabad</t>
  </si>
  <si>
    <t>P007</t>
  </si>
  <si>
    <t>HD Monitor 24"</t>
  </si>
  <si>
    <t>444638, Delhi</t>
  </si>
  <si>
    <t>Fitness Band</t>
  </si>
  <si>
    <t>140409, Bangalore</t>
  </si>
  <si>
    <t>P009</t>
  </si>
  <si>
    <t>Wireless Earbuds</t>
  </si>
  <si>
    <t>885125, Mumbai</t>
  </si>
  <si>
    <t>239658, Bangalore</t>
  </si>
  <si>
    <t>P010</t>
  </si>
  <si>
    <t>USB-C Charger</t>
  </si>
  <si>
    <t>650410, Mumbai</t>
  </si>
  <si>
    <t>P011</t>
  </si>
  <si>
    <t>789962, Hyderabad</t>
  </si>
  <si>
    <t>Smart TV 55"</t>
  </si>
  <si>
    <t>465975, Delhi</t>
  </si>
  <si>
    <t>P012</t>
  </si>
  <si>
    <t>External Hard Drive</t>
  </si>
  <si>
    <t>259297, Mumbai</t>
  </si>
  <si>
    <t>P013</t>
  </si>
  <si>
    <t>634545, Pune</t>
  </si>
  <si>
    <t>Gaming Laptop</t>
  </si>
  <si>
    <t>514148, Hyderabad</t>
  </si>
  <si>
    <t>P014</t>
  </si>
  <si>
    <t>Noise-Canceling Headphones</t>
  </si>
  <si>
    <t>395076, Mumbai</t>
  </si>
  <si>
    <t>752530, Pune</t>
  </si>
  <si>
    <t>P015</t>
  </si>
  <si>
    <t>Wireless Router</t>
  </si>
  <si>
    <t>338022, Bangalore</t>
  </si>
  <si>
    <t>573677, Kolkata</t>
  </si>
  <si>
    <t>241614, Bangalore</t>
  </si>
  <si>
    <t>500545, Mumbai</t>
  </si>
  <si>
    <t>520033, Chennai</t>
  </si>
  <si>
    <t>352567, Chennai</t>
  </si>
  <si>
    <t>447316, Hyderabad</t>
  </si>
  <si>
    <t>961913, Kolkata</t>
  </si>
  <si>
    <t>679253, Kolkata</t>
  </si>
  <si>
    <t>727650, Pune</t>
  </si>
  <si>
    <t>809761, Hyderabad</t>
  </si>
  <si>
    <t>310971, Bangalore</t>
  </si>
  <si>
    <t>428219, Hyderabad</t>
  </si>
  <si>
    <t>386048, Hyderabad</t>
  </si>
  <si>
    <t>526076, Pune</t>
  </si>
  <si>
    <t>488372, Delhi</t>
  </si>
  <si>
    <t>825683, Mumbai</t>
  </si>
  <si>
    <t>352005, Kolkata</t>
  </si>
  <si>
    <t>473756, Hyderabad</t>
  </si>
  <si>
    <t>803425, Pune</t>
  </si>
  <si>
    <t>205847, Chennai</t>
  </si>
  <si>
    <t>317826, Chennai</t>
  </si>
  <si>
    <t>244401, Bangalore</t>
  </si>
  <si>
    <t>895208, Chennai</t>
  </si>
  <si>
    <t>149795, Mumbai</t>
  </si>
  <si>
    <t>555892, Pune</t>
  </si>
  <si>
    <t>160817, Kolkata</t>
  </si>
  <si>
    <t>679599, Delhi</t>
  </si>
  <si>
    <t>881324, Mumbai</t>
  </si>
  <si>
    <t>817451, Hyderabad</t>
  </si>
  <si>
    <t>272088, Chennai</t>
  </si>
  <si>
    <t>926262, Bangalore</t>
  </si>
  <si>
    <t>433846, Hyderabad</t>
  </si>
  <si>
    <t>DATA TRANSFORMATION</t>
  </si>
  <si>
    <t>894536, Mumbai</t>
  </si>
  <si>
    <t>826629, Chennai</t>
  </si>
  <si>
    <t>994287, Kolkata</t>
  </si>
  <si>
    <t>ID</t>
  </si>
  <si>
    <t>872992, Hyderabad</t>
  </si>
  <si>
    <t>587570, Pune</t>
  </si>
  <si>
    <t>Product Code</t>
  </si>
  <si>
    <t>Description</t>
  </si>
  <si>
    <t>Manufacture Date</t>
  </si>
  <si>
    <t>680378, Kolkata</t>
  </si>
  <si>
    <t>510808, Delhi</t>
  </si>
  <si>
    <t>Status</t>
  </si>
  <si>
    <t>EXTRACT( LEFT, RIGHT, LEN)</t>
  </si>
  <si>
    <t>141841, Mumbai</t>
  </si>
  <si>
    <t>DEF456</t>
  </si>
  <si>
    <t>791381, Delhi</t>
  </si>
  <si>
    <t>18-06-2023</t>
  </si>
  <si>
    <t>1158.68 $</t>
  </si>
  <si>
    <t>370499, Delhi</t>
  </si>
  <si>
    <t>826491, Kolkata</t>
  </si>
  <si>
    <t>784009, Bangalore</t>
  </si>
  <si>
    <t>686789, Bangalore</t>
  </si>
  <si>
    <t>696235, Hyderabad</t>
  </si>
  <si>
    <t>523827, Pune</t>
  </si>
  <si>
    <t>575665, Bangalore</t>
  </si>
  <si>
    <t>334714, Chennai</t>
  </si>
  <si>
    <t>705987, Pune</t>
  </si>
  <si>
    <t>930592, Bangalore</t>
  </si>
  <si>
    <t>CONVERTING DATA TYPE( Text - number)</t>
  </si>
  <si>
    <t>357592, Bangalore</t>
  </si>
  <si>
    <t>543483, Delhi</t>
  </si>
  <si>
    <t>1285.36 $</t>
  </si>
  <si>
    <t>173457, Pune</t>
  </si>
  <si>
    <t>LMN789</t>
  </si>
  <si>
    <t>186646, Mumbai</t>
  </si>
  <si>
    <t>139.05 $</t>
  </si>
  <si>
    <t>215493, Mumbai</t>
  </si>
  <si>
    <t>JKL567</t>
  </si>
  <si>
    <t>SCENARIO MANAGER</t>
  </si>
  <si>
    <t>107.87 $</t>
  </si>
  <si>
    <t>784749, Pune</t>
  </si>
  <si>
    <t>734153, Chennai</t>
  </si>
  <si>
    <t>XYZ789</t>
  </si>
  <si>
    <t>178.23 $</t>
  </si>
  <si>
    <t>846496, Hyderabad</t>
  </si>
  <si>
    <t>UVW678</t>
  </si>
  <si>
    <t>138596, Mumbai</t>
  </si>
  <si>
    <t>PRODUCT QTY</t>
  </si>
  <si>
    <t>439.48 $</t>
  </si>
  <si>
    <t>COST</t>
  </si>
  <si>
    <t>963878, Chennai</t>
  </si>
  <si>
    <t>Senario 1</t>
  </si>
  <si>
    <t>344906, Delhi</t>
  </si>
  <si>
    <t>715.56 $</t>
  </si>
  <si>
    <t>Low Quantity</t>
  </si>
  <si>
    <t>963623, Hyderabad</t>
  </si>
  <si>
    <t>Senario 2</t>
  </si>
  <si>
    <t>High Quantity</t>
  </si>
  <si>
    <t>516.3 $</t>
  </si>
  <si>
    <t>511155, Kolkata</t>
  </si>
  <si>
    <t>GHI234</t>
  </si>
  <si>
    <t>277944, Chennai</t>
  </si>
  <si>
    <t>974.34 $</t>
  </si>
  <si>
    <t>124322, Pune</t>
  </si>
  <si>
    <t>1364.75 $</t>
  </si>
  <si>
    <t>REVENU</t>
  </si>
  <si>
    <t>357958, Bangalore</t>
  </si>
  <si>
    <t>503.17 $</t>
  </si>
  <si>
    <t>268479, Hyderabad</t>
  </si>
  <si>
    <t>566216, Bangalore</t>
  </si>
  <si>
    <t>480.32 $</t>
  </si>
  <si>
    <t>979611, Delhi</t>
  </si>
  <si>
    <t>MNO890</t>
  </si>
  <si>
    <t>606385, Bangalore</t>
  </si>
  <si>
    <t>672.35 $</t>
  </si>
  <si>
    <t>879539, Bangalore</t>
  </si>
  <si>
    <t>895.55 $</t>
  </si>
  <si>
    <t>406198, Hyderabad</t>
  </si>
  <si>
    <t>186690, Kolkata</t>
  </si>
  <si>
    <t>923.25 $</t>
  </si>
  <si>
    <t>984657, Chennai</t>
  </si>
  <si>
    <t>PQR123</t>
  </si>
  <si>
    <t>851637, Mumbai</t>
  </si>
  <si>
    <t>1493.67 $</t>
  </si>
  <si>
    <t>830693, Hyderabad</t>
  </si>
  <si>
    <t>534.05 $</t>
  </si>
  <si>
    <t>241199, Hyderabad</t>
  </si>
  <si>
    <t>1408.02 $</t>
  </si>
  <si>
    <t>172004, Delhi</t>
  </si>
  <si>
    <t>874109, Hyderabad</t>
  </si>
  <si>
    <t>535.03 $</t>
  </si>
  <si>
    <t>253611, Delhi</t>
  </si>
  <si>
    <t>RST345</t>
  </si>
  <si>
    <t>898.74 $</t>
  </si>
  <si>
    <t>568268, Hyderabad</t>
  </si>
  <si>
    <t>725907, Hyderabad</t>
  </si>
  <si>
    <t>1162.99 $</t>
  </si>
  <si>
    <t>776740, Chennai</t>
  </si>
  <si>
    <t>ABC123</t>
  </si>
  <si>
    <t>152.55 $</t>
  </si>
  <si>
    <t>768079, Chennai</t>
  </si>
  <si>
    <t>415744, Pune</t>
  </si>
  <si>
    <t>1447.78 $</t>
  </si>
  <si>
    <t>317583, Hyderabad</t>
  </si>
  <si>
    <t>953944, Chennai</t>
  </si>
  <si>
    <t>187.85 $</t>
  </si>
  <si>
    <t>334961, Chennai</t>
  </si>
  <si>
    <t>318.32 $</t>
  </si>
  <si>
    <t>805717, Delhi</t>
  </si>
  <si>
    <t>811398, Hyderabad</t>
  </si>
  <si>
    <t>871.71 $</t>
  </si>
  <si>
    <t>738359, Chennai</t>
  </si>
  <si>
    <t>611.89 $</t>
  </si>
  <si>
    <t>612625, Hyderabad</t>
  </si>
  <si>
    <t>74.25 $</t>
  </si>
  <si>
    <t>368206, Kolkata</t>
  </si>
  <si>
    <t>582.27 $</t>
  </si>
  <si>
    <t>616409, Chennai</t>
  </si>
  <si>
    <t>507307, Delhi</t>
  </si>
  <si>
    <t>1454.65 $</t>
  </si>
  <si>
    <t>419112, Delhi</t>
  </si>
  <si>
    <t>386.1 $</t>
  </si>
  <si>
    <t>496725, Delhi</t>
  </si>
  <si>
    <t>875.76 $</t>
  </si>
  <si>
    <t>981808, Pune</t>
  </si>
  <si>
    <t>491649, Kolkata</t>
  </si>
  <si>
    <t>342.64 $</t>
  </si>
  <si>
    <t>753163, Bangalore</t>
  </si>
  <si>
    <t>1104.93 $</t>
  </si>
  <si>
    <t>887114, Kolkata</t>
  </si>
  <si>
    <t>401.94 $</t>
  </si>
  <si>
    <t>473768, Chennai</t>
  </si>
  <si>
    <t>857.94 $</t>
  </si>
  <si>
    <t>636237, Hyderabad</t>
  </si>
  <si>
    <t>856243, Pune</t>
  </si>
  <si>
    <t>1204.8 $</t>
  </si>
  <si>
    <t>233658, Mumbai</t>
  </si>
  <si>
    <t>947.0 $</t>
  </si>
  <si>
    <t>962278, Kolkata</t>
  </si>
  <si>
    <t>317.63 $</t>
  </si>
  <si>
    <t>659561, Mumbai</t>
  </si>
  <si>
    <t>415723, Delhi</t>
  </si>
  <si>
    <t>1236.46 $</t>
  </si>
  <si>
    <t>822272, Bangalore</t>
  </si>
  <si>
    <t>1185.78 $</t>
  </si>
  <si>
    <t>1036.76 $</t>
  </si>
  <si>
    <t>1018.2 $</t>
  </si>
  <si>
    <t>581636, Bangalore</t>
  </si>
  <si>
    <t>150.97 $</t>
  </si>
  <si>
    <t>620153, Bangalore</t>
  </si>
  <si>
    <t>496985, Bangalore</t>
  </si>
  <si>
    <t>108660, Delhi</t>
  </si>
  <si>
    <t>445607, Hyderabad</t>
  </si>
  <si>
    <t>650.8 $</t>
  </si>
  <si>
    <t>569299, Pune</t>
  </si>
  <si>
    <t>1219.92 $</t>
  </si>
  <si>
    <t>875716, Pune</t>
  </si>
  <si>
    <t>935584, Mumbai</t>
  </si>
  <si>
    <t>1139.6 $</t>
  </si>
  <si>
    <t>272955, Delhi</t>
  </si>
  <si>
    <t>1038.16 $</t>
  </si>
  <si>
    <t>567137, Bangalore</t>
  </si>
  <si>
    <t>1128.79 $</t>
  </si>
  <si>
    <t>780077, Hyderabad</t>
  </si>
  <si>
    <t>749144, Delhi</t>
  </si>
  <si>
    <t>1391.57 $</t>
  </si>
  <si>
    <t>520411, Hyderabad</t>
  </si>
  <si>
    <t>538.59 $</t>
  </si>
  <si>
    <t>472736, Kolkata</t>
  </si>
  <si>
    <t>768174, Hyderabad</t>
  </si>
  <si>
    <t>1237.96 $</t>
  </si>
  <si>
    <t>540310, Bangalore</t>
  </si>
  <si>
    <t>1457.59 $</t>
  </si>
  <si>
    <t>697358, Mumbai</t>
  </si>
  <si>
    <t>419.75 $</t>
  </si>
  <si>
    <t>598992, Hyderabad</t>
  </si>
  <si>
    <t>190873, Chennai</t>
  </si>
  <si>
    <t>977.15 $</t>
  </si>
  <si>
    <t>774640, Kolkata</t>
  </si>
  <si>
    <t>458.23 $</t>
  </si>
  <si>
    <t>674378, Mumbai</t>
  </si>
  <si>
    <t>917.41 $</t>
  </si>
  <si>
    <t>584606, Chennai</t>
  </si>
  <si>
    <t>233.93 $</t>
  </si>
  <si>
    <t>650116, Delhi</t>
  </si>
  <si>
    <t>448225, Delhi</t>
  </si>
  <si>
    <t>472.8 $</t>
  </si>
  <si>
    <t>538903, Kolkata</t>
  </si>
  <si>
    <t>438.22 $</t>
  </si>
  <si>
    <t>507675, Kolkata</t>
  </si>
  <si>
    <t>860.7 $</t>
  </si>
  <si>
    <t>842289, Bangalore</t>
  </si>
  <si>
    <t>169324, Chennai</t>
  </si>
  <si>
    <t>699.46 $</t>
  </si>
  <si>
    <t>517069, Delhi</t>
  </si>
  <si>
    <t>346637, Hyderabad</t>
  </si>
  <si>
    <t>304.31 $</t>
  </si>
  <si>
    <t>273416, Mumbai</t>
  </si>
  <si>
    <t>658.07 $</t>
  </si>
  <si>
    <t>278674, Delhi</t>
  </si>
  <si>
    <t>148434, Kolkata</t>
  </si>
  <si>
    <t>877.8 $</t>
  </si>
  <si>
    <t>116155, Mumbai</t>
  </si>
  <si>
    <t>967.6 $</t>
  </si>
  <si>
    <t>544447, Chennai</t>
  </si>
  <si>
    <t>332.31 $</t>
  </si>
  <si>
    <t>731504, Mumbai</t>
  </si>
  <si>
    <t>789705, Pune</t>
  </si>
  <si>
    <t>1373.74 $</t>
  </si>
  <si>
    <t>117948, Hyderabad</t>
  </si>
  <si>
    <t>1143.91 $</t>
  </si>
  <si>
    <t>824195, Delhi</t>
  </si>
  <si>
    <t>638.15 $</t>
  </si>
  <si>
    <t>430189, Chennai</t>
  </si>
  <si>
    <t>955006, Kolkata</t>
  </si>
  <si>
    <t>833.95 $</t>
  </si>
  <si>
    <t>202233, Hyderabad</t>
  </si>
  <si>
    <t>1003.25 $</t>
  </si>
  <si>
    <t>710016, Hyderabad</t>
  </si>
  <si>
    <t>479551, Delhi</t>
  </si>
  <si>
    <t>851.5 $</t>
  </si>
  <si>
    <t>435339, Chennai</t>
  </si>
  <si>
    <t>349.38 $</t>
  </si>
  <si>
    <t>201435, Pune</t>
  </si>
  <si>
    <t>935833, Delhi</t>
  </si>
  <si>
    <t>985.09 $</t>
  </si>
  <si>
    <t>355790, Hyderabad</t>
  </si>
  <si>
    <t>1125.13 $</t>
  </si>
  <si>
    <t>742802, Delhi</t>
  </si>
  <si>
    <t>994430, Kolkata</t>
  </si>
  <si>
    <t>903.58 $</t>
  </si>
  <si>
    <t>794517, Hyderabad</t>
  </si>
  <si>
    <t>988617, Mumbai</t>
  </si>
  <si>
    <t>1360.12 $</t>
  </si>
  <si>
    <t>688075, Chennai</t>
  </si>
  <si>
    <t>379411, Pune</t>
  </si>
  <si>
    <t>919.75 $</t>
  </si>
  <si>
    <t>621366, Hyderabad</t>
  </si>
  <si>
    <t>379.46 $</t>
  </si>
  <si>
    <t>992029, Hyderabad</t>
  </si>
  <si>
    <t>312202, Mumbai</t>
  </si>
  <si>
    <t>1481.95 $</t>
  </si>
  <si>
    <t>878691, Delhi</t>
  </si>
  <si>
    <t>640.48 $</t>
  </si>
  <si>
    <t>476052, Kolkata</t>
  </si>
  <si>
    <t>551.0 $</t>
  </si>
  <si>
    <t>497708, Chennai</t>
  </si>
  <si>
    <t>240388, Chennai</t>
  </si>
  <si>
    <t>968.36 $</t>
  </si>
  <si>
    <t>822072, Mumbai</t>
  </si>
  <si>
    <t>509570, Pune</t>
  </si>
  <si>
    <t>235.89 $</t>
  </si>
  <si>
    <t>829249, Kolkata</t>
  </si>
  <si>
    <t>718427, Chennai</t>
  </si>
  <si>
    <t>1186.04 $</t>
  </si>
  <si>
    <t>382869, Pune</t>
  </si>
  <si>
    <t>432927, Kolkata</t>
  </si>
  <si>
    <t>67.76 $</t>
  </si>
  <si>
    <t>556268, Delhi</t>
  </si>
  <si>
    <t>347985, Hyderabad</t>
  </si>
  <si>
    <t>199.63 $</t>
  </si>
  <si>
    <t>541990, Mumbai</t>
  </si>
  <si>
    <t>885.45 $</t>
  </si>
  <si>
    <t>852501, Delhi</t>
  </si>
  <si>
    <t>941802, Delhi</t>
  </si>
  <si>
    <t>135.94 $</t>
  </si>
  <si>
    <t>666509, Chennai</t>
  </si>
  <si>
    <t>695.54 $</t>
  </si>
  <si>
    <t>559202, Delhi</t>
  </si>
  <si>
    <t>848632, Pune</t>
  </si>
  <si>
    <t>141.38 $</t>
  </si>
  <si>
    <t>504083, Bangalore</t>
  </si>
  <si>
    <t>751039, Chennai</t>
  </si>
  <si>
    <t>64.8 $</t>
  </si>
  <si>
    <t>202241, Pune</t>
  </si>
  <si>
    <t>892362, Kolkata</t>
  </si>
  <si>
    <t>529.16 $</t>
  </si>
  <si>
    <t>376785, Pune</t>
  </si>
  <si>
    <t>816366, Kolkata</t>
  </si>
  <si>
    <t>222.56 $</t>
  </si>
  <si>
    <t>386729, Bangalore</t>
  </si>
  <si>
    <t>214890, Bangalore</t>
  </si>
  <si>
    <t>382.56 $</t>
  </si>
  <si>
    <t>188765, Pune</t>
  </si>
  <si>
    <t>934225, Mumbai</t>
  </si>
  <si>
    <t>539580, Hyderabad</t>
  </si>
  <si>
    <t>520.93 $</t>
  </si>
  <si>
    <t>133452, Pune</t>
  </si>
  <si>
    <t>658218, Chennai</t>
  </si>
  <si>
    <t>1467.92 $</t>
  </si>
  <si>
    <t>778804, Mumbai</t>
  </si>
  <si>
    <t>996558, Pune</t>
  </si>
  <si>
    <t>1160.56 $</t>
  </si>
  <si>
    <t>373372, Delhi</t>
  </si>
  <si>
    <t>514105, Kolkata</t>
  </si>
  <si>
    <t>750.26 $</t>
  </si>
  <si>
    <t>607722, Kolkata</t>
  </si>
  <si>
    <t>301934, Hyderabad</t>
  </si>
  <si>
    <t>332.12 $</t>
  </si>
  <si>
    <t>838567, Hyderabad</t>
  </si>
  <si>
    <t>418759, Hyderabad</t>
  </si>
  <si>
    <t>172.54 $</t>
  </si>
  <si>
    <t>690825, Delhi</t>
  </si>
  <si>
    <t>294410, Hyderabad</t>
  </si>
  <si>
    <t>1070.79 $</t>
  </si>
  <si>
    <t>938998, Chennai</t>
  </si>
  <si>
    <t>834093, Chennai</t>
  </si>
  <si>
    <t>977.37 $</t>
  </si>
  <si>
    <t>354048, Bangalore</t>
  </si>
  <si>
    <t>988815, Pune</t>
  </si>
  <si>
    <t>585.79 $</t>
  </si>
  <si>
    <t>940065, Pune</t>
  </si>
  <si>
    <t>539.47 $</t>
  </si>
  <si>
    <t>748144, Hyderabad</t>
  </si>
  <si>
    <t>594371, Bangalore</t>
  </si>
  <si>
    <t>1130.91 $</t>
  </si>
  <si>
    <t>435146, Hyderabad</t>
  </si>
  <si>
    <t>1238.52 $</t>
  </si>
  <si>
    <t>404027, Chennai</t>
  </si>
  <si>
    <t>115719, Hyderabad</t>
  </si>
  <si>
    <t>1081.79 $</t>
  </si>
  <si>
    <t>723654, Pune</t>
  </si>
  <si>
    <t>825418, Bangalore</t>
  </si>
  <si>
    <t>578423, Kolkata</t>
  </si>
  <si>
    <t>186.03 $</t>
  </si>
  <si>
    <t>606556, Hyderabad</t>
  </si>
  <si>
    <t>630997, Bangalore</t>
  </si>
  <si>
    <t>1341.94 $</t>
  </si>
  <si>
    <t>232989, Pune</t>
  </si>
  <si>
    <t>242.1 $</t>
  </si>
  <si>
    <t>490912, Chennai</t>
  </si>
  <si>
    <t>98.64 $</t>
  </si>
  <si>
    <t>737177, Delhi</t>
  </si>
  <si>
    <t>222.26 $</t>
  </si>
  <si>
    <t>401235, Mumbai</t>
  </si>
  <si>
    <t>619919, Bangalore</t>
  </si>
  <si>
    <t>1021.91 $</t>
  </si>
  <si>
    <t>739416, Mumbai</t>
  </si>
  <si>
    <t>1149.29 $</t>
  </si>
  <si>
    <t>774038, Mumbai</t>
  </si>
  <si>
    <t>462320, Kolkata</t>
  </si>
  <si>
    <t>345.93 $</t>
  </si>
  <si>
    <t>531093, Kolkata</t>
  </si>
  <si>
    <t>391.4 $</t>
  </si>
  <si>
    <t>557457, Mumbai</t>
  </si>
  <si>
    <t>832208, Delhi</t>
  </si>
  <si>
    <t>603.65 $</t>
  </si>
  <si>
    <t>323149, Kolkata</t>
  </si>
  <si>
    <t>599132, Chennai</t>
  </si>
  <si>
    <t>1056.02 $</t>
  </si>
  <si>
    <t>197084, Kolkata</t>
  </si>
  <si>
    <t>269499, Mumbai</t>
  </si>
  <si>
    <t>1360.59 $</t>
  </si>
  <si>
    <t>665280, Hyderabad</t>
  </si>
  <si>
    <t>434252, Chennai</t>
  </si>
  <si>
    <t>1216.48 $</t>
  </si>
  <si>
    <t>855837, Hyderabad</t>
  </si>
  <si>
    <t>341511, Mumbai</t>
  </si>
  <si>
    <t>1201.73 $</t>
  </si>
  <si>
    <t>546058, Kolkata</t>
  </si>
  <si>
    <t>494426, Hyderabad</t>
  </si>
  <si>
    <t>888.49 $</t>
  </si>
  <si>
    <t>617692, Mumbai</t>
  </si>
  <si>
    <t>332648, Kolkata</t>
  </si>
  <si>
    <t>546.4 $</t>
  </si>
  <si>
    <t>615.21 $</t>
  </si>
  <si>
    <t>1271.28 $</t>
  </si>
  <si>
    <t>443631, Kolkata</t>
  </si>
  <si>
    <t>968.83 $</t>
  </si>
  <si>
    <t>564791, Kolkata</t>
  </si>
  <si>
    <t>494.3 $</t>
  </si>
  <si>
    <t>635491, Hyderabad</t>
  </si>
  <si>
    <t>833.7 $</t>
  </si>
  <si>
    <t>117061, Mumbai</t>
  </si>
  <si>
    <t>646.98 $</t>
  </si>
  <si>
    <t>233564, Pune</t>
  </si>
  <si>
    <t>521.38 $</t>
  </si>
  <si>
    <t>188898, Pune</t>
  </si>
  <si>
    <t>498460, Mumbai</t>
  </si>
  <si>
    <t>686.01 $</t>
  </si>
  <si>
    <t>253263, Kolkata</t>
  </si>
  <si>
    <t>461.39 $</t>
  </si>
  <si>
    <t>148317, Pune</t>
  </si>
  <si>
    <t>725920, Bangalore</t>
  </si>
  <si>
    <t>1281.3 $</t>
  </si>
  <si>
    <t>952297, Bangalore</t>
  </si>
  <si>
    <t>654.83 $</t>
  </si>
  <si>
    <t>681669, Hyderabad</t>
  </si>
  <si>
    <t>294677, Pune</t>
  </si>
  <si>
    <t>868.09 $</t>
  </si>
  <si>
    <t>283906, Bangalore</t>
  </si>
  <si>
    <t>82.1 $</t>
  </si>
  <si>
    <t>467101, Kolkata</t>
  </si>
  <si>
    <t>196351, Delhi</t>
  </si>
  <si>
    <t>1474.67 $</t>
  </si>
  <si>
    <t>161717, Pune</t>
  </si>
  <si>
    <t>999404, Mumbai</t>
  </si>
  <si>
    <t>1271.2 $</t>
  </si>
  <si>
    <t>947757, Delhi</t>
  </si>
  <si>
    <t>831423, Hyderabad</t>
  </si>
  <si>
    <t>300.73 $</t>
  </si>
  <si>
    <t>176143, Hyderabad</t>
  </si>
  <si>
    <t>436575, Delhi</t>
  </si>
  <si>
    <t>454.67 $</t>
  </si>
  <si>
    <t>595562, Bangalore</t>
  </si>
  <si>
    <t>792409, Chennai</t>
  </si>
  <si>
    <t>402.27 $</t>
  </si>
  <si>
    <t>471357, Kolkata</t>
  </si>
  <si>
    <t>474.33 $</t>
  </si>
  <si>
    <t>687878, Kolkata</t>
  </si>
  <si>
    <t>289491, Delhi</t>
  </si>
  <si>
    <t>896.86 $</t>
  </si>
  <si>
    <t>985225, Chennai</t>
  </si>
  <si>
    <t>107293, Bangalore</t>
  </si>
  <si>
    <t>455.54 $</t>
  </si>
  <si>
    <t>633529, Pune</t>
  </si>
  <si>
    <t>841588, Chennai</t>
  </si>
  <si>
    <t>487.17 $</t>
  </si>
  <si>
    <t>227137, Hyderabad</t>
  </si>
  <si>
    <t>223.24 $</t>
  </si>
  <si>
    <t>820319, Chennai</t>
  </si>
  <si>
    <t>183531, Delhi</t>
  </si>
  <si>
    <t>896.44 $</t>
  </si>
  <si>
    <t>479681, Mumbai</t>
  </si>
  <si>
    <t>463276, Bangalore</t>
  </si>
  <si>
    <t>763.52 $</t>
  </si>
  <si>
    <t>780971, Hyderabad</t>
  </si>
  <si>
    <t>978431, Kolkata</t>
  </si>
  <si>
    <t>1039.57 $</t>
  </si>
  <si>
    <t>907260, Mumbai</t>
  </si>
  <si>
    <t>852750, Bangalore</t>
  </si>
  <si>
    <t>857.67 $</t>
  </si>
  <si>
    <t>133931, Chennai</t>
  </si>
  <si>
    <t>280841, Pune</t>
  </si>
  <si>
    <t>1250.07 $</t>
  </si>
  <si>
    <t>624671, Bangalore</t>
  </si>
  <si>
    <t>914520, Delhi</t>
  </si>
  <si>
    <t>1242.52 $</t>
  </si>
  <si>
    <t>395860, Mumbai</t>
  </si>
  <si>
    <t>1266.51 $</t>
  </si>
  <si>
    <t>888477, Chennai</t>
  </si>
  <si>
    <t>894504, Hyderabad</t>
  </si>
  <si>
    <t>1175.47 $</t>
  </si>
  <si>
    <t>429870, Delhi</t>
  </si>
  <si>
    <t>325093, Chennai</t>
  </si>
  <si>
    <t>1442.06 $</t>
  </si>
  <si>
    <t>127023, Pune</t>
  </si>
  <si>
    <t>685626, Hyderabad</t>
  </si>
  <si>
    <t>1316.64 $</t>
  </si>
  <si>
    <t>915566, Delhi</t>
  </si>
  <si>
    <t>163202, Bangalore</t>
  </si>
  <si>
    <t>1213.49 $</t>
  </si>
  <si>
    <t>434318, Delhi</t>
  </si>
  <si>
    <t>139666, Chennai</t>
  </si>
  <si>
    <t>1287.51 $</t>
  </si>
  <si>
    <t>890664, Delhi</t>
  </si>
  <si>
    <t>273368, Kolkata</t>
  </si>
  <si>
    <t>1088.21 $</t>
  </si>
  <si>
    <t>704392, Chennai</t>
  </si>
  <si>
    <t>886225, Kolkata</t>
  </si>
  <si>
    <t>746.24 $</t>
  </si>
  <si>
    <t>403906, Bangalore</t>
  </si>
  <si>
    <t>1373.58 $</t>
  </si>
  <si>
    <t>584895, Hyderabad</t>
  </si>
  <si>
    <t>1376.4 $</t>
  </si>
  <si>
    <t>319315, Bangalore</t>
  </si>
  <si>
    <t>815444, Mumbai</t>
  </si>
  <si>
    <t>1046.44 $</t>
  </si>
  <si>
    <t>455403, Bangalore</t>
  </si>
  <si>
    <t>739293, Delhi</t>
  </si>
  <si>
    <t>642.86 $</t>
  </si>
  <si>
    <t>118111, Bangalore</t>
  </si>
  <si>
    <t>351.03 $</t>
  </si>
  <si>
    <t>125126, Bangalore</t>
  </si>
  <si>
    <t>865125, Delhi</t>
  </si>
  <si>
    <t>1150.91 $</t>
  </si>
  <si>
    <t>367508, Mumbai</t>
  </si>
  <si>
    <t>972.4 $</t>
  </si>
  <si>
    <t>956632, Hyderabad</t>
  </si>
  <si>
    <t>159.77 $</t>
  </si>
  <si>
    <t>431353, Bangalore</t>
  </si>
  <si>
    <t>1451.26 $</t>
  </si>
  <si>
    <t>489902, Bangalore</t>
  </si>
  <si>
    <t>758458, Pune</t>
  </si>
  <si>
    <t>1097.39 $</t>
  </si>
  <si>
    <t>524593, Pune</t>
  </si>
  <si>
    <t>402.12 $</t>
  </si>
  <si>
    <t>362345, Mumbai</t>
  </si>
  <si>
    <t>540.01 $</t>
  </si>
  <si>
    <t>583615, Bangalore</t>
  </si>
  <si>
    <t>349158, Hyderabad</t>
  </si>
  <si>
    <t>270.94 $</t>
  </si>
  <si>
    <t>948303, Chennai</t>
  </si>
  <si>
    <t>598.4 $</t>
  </si>
  <si>
    <t>999612, Hyderabad</t>
  </si>
  <si>
    <t>493.96 $</t>
  </si>
  <si>
    <t>995495, Hyderabad</t>
  </si>
  <si>
    <t>274703, Bangalore</t>
  </si>
  <si>
    <t>724807, Chennai</t>
  </si>
  <si>
    <t>234.89 $</t>
  </si>
  <si>
    <t>838087, Hyderabad</t>
  </si>
  <si>
    <t>333657, Bangalore</t>
  </si>
  <si>
    <t>210.71 $</t>
  </si>
  <si>
    <t>763614, Chennai</t>
  </si>
  <si>
    <t>729.62 $</t>
  </si>
  <si>
    <t>414073, Bangalore</t>
  </si>
  <si>
    <t>379124, Bangalore</t>
  </si>
  <si>
    <t>155.68 $</t>
  </si>
  <si>
    <t>139405, Kolkata</t>
  </si>
  <si>
    <t>1181.15 $</t>
  </si>
  <si>
    <t>284335, Mumbai</t>
  </si>
  <si>
    <t>331208, Delhi</t>
  </si>
  <si>
    <t>914.13 $</t>
  </si>
  <si>
    <t>644179, Hyderabad</t>
  </si>
  <si>
    <t>718.54 $</t>
  </si>
  <si>
    <t>369348, Kolkata</t>
  </si>
  <si>
    <t>488468, Kolkata</t>
  </si>
  <si>
    <t>1325.64 $</t>
  </si>
  <si>
    <t>622926, Kolkata</t>
  </si>
  <si>
    <t>1046.84 $</t>
  </si>
  <si>
    <t>375991, Delhi</t>
  </si>
  <si>
    <t>463428, Pune</t>
  </si>
  <si>
    <t>1003.51 $</t>
  </si>
  <si>
    <t>710636, Bangalore</t>
  </si>
  <si>
    <t>575005, Mumbai</t>
  </si>
  <si>
    <t>1452.23 $</t>
  </si>
  <si>
    <t>653090, Chennai</t>
  </si>
  <si>
    <t>774205, Chennai</t>
  </si>
  <si>
    <t>501.62 $</t>
  </si>
  <si>
    <t>397616, Hyderabad</t>
  </si>
  <si>
    <t>70.01 $</t>
  </si>
  <si>
    <t>213391, Hyderabad</t>
  </si>
  <si>
    <t>896.01 $</t>
  </si>
  <si>
    <t>232628, Hyderabad</t>
  </si>
  <si>
    <t>762187, Hyderabad</t>
  </si>
  <si>
    <t>218.97 $</t>
  </si>
  <si>
    <t>532155, Hyderabad</t>
  </si>
  <si>
    <t>415427, Bangalore</t>
  </si>
  <si>
    <t>1152.52 $</t>
  </si>
  <si>
    <t>898084, Delhi</t>
  </si>
  <si>
    <t>310.22 $</t>
  </si>
  <si>
    <t>411478, Bangalore</t>
  </si>
  <si>
    <t>267413, Kolkata</t>
  </si>
  <si>
    <t>1140.37 $</t>
  </si>
  <si>
    <t>865177, Mumbai</t>
  </si>
  <si>
    <t>190.98 $</t>
  </si>
  <si>
    <t>710431, Bangalore</t>
  </si>
  <si>
    <t>384585, Chennai</t>
  </si>
  <si>
    <t>1195.04 $</t>
  </si>
  <si>
    <t>581974, Hyderabad</t>
  </si>
  <si>
    <t>227.92 $</t>
  </si>
  <si>
    <t>851513, Kolkata</t>
  </si>
  <si>
    <t>857922, Hyderabad</t>
  </si>
  <si>
    <t>790.48 $</t>
  </si>
  <si>
    <t>379022, Kolkata</t>
  </si>
  <si>
    <t>718569, Kolkata</t>
  </si>
  <si>
    <t>861440, Kolkata</t>
  </si>
  <si>
    <t>1108.81 $</t>
  </si>
  <si>
    <t>998820, Chennai</t>
  </si>
  <si>
    <t>703001, Pune</t>
  </si>
  <si>
    <t>694658, Kolkata</t>
  </si>
  <si>
    <t>369352, Pune</t>
  </si>
  <si>
    <t>123354, Mumbai</t>
  </si>
  <si>
    <t>741012, Delhi</t>
  </si>
  <si>
    <t>473865, Hyderabad</t>
  </si>
  <si>
    <t>978832, Bangalore</t>
  </si>
  <si>
    <t>178578, Chennai</t>
  </si>
  <si>
    <t>451158, Kolkata</t>
  </si>
  <si>
    <t>677556, Delhi</t>
  </si>
  <si>
    <t>366580, Kolkata</t>
  </si>
  <si>
    <t>585698, Mumbai</t>
  </si>
  <si>
    <t>755829, Pune</t>
  </si>
  <si>
    <t>495474, Pune</t>
  </si>
  <si>
    <t>254730, Pune</t>
  </si>
  <si>
    <t>518165, Pune</t>
  </si>
  <si>
    <t>646125, Mumbai</t>
  </si>
  <si>
    <t>254793, Hyderabad</t>
  </si>
  <si>
    <t>918345, Mumbai</t>
  </si>
  <si>
    <t>617322, Chennai</t>
  </si>
  <si>
    <t>431012, Pune</t>
  </si>
  <si>
    <t>641375, Kolkata</t>
  </si>
  <si>
    <t>489692, Chennai</t>
  </si>
  <si>
    <t>113080, Pune</t>
  </si>
  <si>
    <t>460546, Bangalore</t>
  </si>
  <si>
    <t>185877, Delhi</t>
  </si>
  <si>
    <t>377454, Chennai</t>
  </si>
  <si>
    <t>933790, Delhi</t>
  </si>
  <si>
    <t>784982, Delhi</t>
  </si>
  <si>
    <t>826537, Chennai</t>
  </si>
  <si>
    <t>106058, Mumbai</t>
  </si>
  <si>
    <t>669051, Kolkata</t>
  </si>
  <si>
    <t>814268, Delhi</t>
  </si>
  <si>
    <t>756716, Pune</t>
  </si>
  <si>
    <t>353470, Delhi</t>
  </si>
  <si>
    <t>401790, Pune</t>
  </si>
  <si>
    <t>250153, Delhi</t>
  </si>
  <si>
    <t>226968, Delhi</t>
  </si>
  <si>
    <t>744304, Bangalore</t>
  </si>
  <si>
    <t>554866, Delhi</t>
  </si>
  <si>
    <t>807811, Mumbai</t>
  </si>
  <si>
    <t>798503, Chennai</t>
  </si>
  <si>
    <t>172114, Pune</t>
  </si>
  <si>
    <t>553802, Delhi</t>
  </si>
  <si>
    <t>347642, Chennai</t>
  </si>
  <si>
    <t>606931, Hyderabad</t>
  </si>
  <si>
    <t>759988, Kolkata</t>
  </si>
  <si>
    <t>771499, Bangalore</t>
  </si>
  <si>
    <t>711820, Pune</t>
  </si>
  <si>
    <t>197371, Mumbai</t>
  </si>
  <si>
    <t>105060, Delhi</t>
  </si>
  <si>
    <t>809271, Hyderabad</t>
  </si>
  <si>
    <t>794588, Chennai</t>
  </si>
  <si>
    <t>787473, Delhi</t>
  </si>
  <si>
    <t>421974, Hyderabad</t>
  </si>
  <si>
    <t>671242, Bangalore</t>
  </si>
  <si>
    <t>919319, Chennai</t>
  </si>
  <si>
    <t>107376, Delhi</t>
  </si>
  <si>
    <t>526829, Hyderabad</t>
  </si>
  <si>
    <t>609734, Hyderabad</t>
  </si>
  <si>
    <t>121580, Kolkata</t>
  </si>
  <si>
    <t>604659, Delhi</t>
  </si>
  <si>
    <t>234899, Delhi</t>
  </si>
  <si>
    <t>676312, Hyderabad</t>
  </si>
  <si>
    <t>595826, Pune</t>
  </si>
  <si>
    <t>841830, Pune</t>
  </si>
  <si>
    <t>104803, Delhi</t>
  </si>
  <si>
    <t>210293, Kolkata</t>
  </si>
  <si>
    <t>662028, Mumbai</t>
  </si>
  <si>
    <t>714368, Mumbai</t>
  </si>
  <si>
    <t>834642, Bangalore</t>
  </si>
  <si>
    <t>395731, Bangalore</t>
  </si>
  <si>
    <t>187388, Kolkata</t>
  </si>
  <si>
    <t>172279, Bangalore</t>
  </si>
  <si>
    <t>939104, Bangalore</t>
  </si>
  <si>
    <t>125941, Chennai</t>
  </si>
  <si>
    <t>508742, Delhi</t>
  </si>
  <si>
    <t>142552, Bangalore</t>
  </si>
  <si>
    <t>237885, Chennai</t>
  </si>
  <si>
    <t>604620, Hyderabad</t>
  </si>
  <si>
    <t>747983, Delhi</t>
  </si>
  <si>
    <t>217814, Chennai</t>
  </si>
  <si>
    <t>127277, Mumbai</t>
  </si>
  <si>
    <t>805794, Delhi</t>
  </si>
  <si>
    <t>684058, Delhi</t>
  </si>
  <si>
    <t>329176, Pune</t>
  </si>
  <si>
    <t>626615, Hyderabad</t>
  </si>
  <si>
    <t>867276, Bangalore</t>
  </si>
  <si>
    <t>325825, Kolkata</t>
  </si>
  <si>
    <t>535225, Hyderabad</t>
  </si>
  <si>
    <t>635765, Chennai</t>
  </si>
  <si>
    <t>915247, Kolkata</t>
  </si>
  <si>
    <t>296039, Bangalore</t>
  </si>
  <si>
    <t>866527, Chennai</t>
  </si>
  <si>
    <t>364699, Pune</t>
  </si>
  <si>
    <t>986299, Chennai</t>
  </si>
  <si>
    <t>486897, Pune</t>
  </si>
  <si>
    <t>416847, Hyderabad</t>
  </si>
  <si>
    <t>583381, Delhi</t>
  </si>
  <si>
    <t>632326, Pune</t>
  </si>
  <si>
    <t>576588, Pune</t>
  </si>
  <si>
    <t>803529, Mumbai</t>
  </si>
  <si>
    <t>354503, Hyderabad</t>
  </si>
  <si>
    <t>237369, Kolkata</t>
  </si>
  <si>
    <t>592040, Mumbai</t>
  </si>
  <si>
    <t>165042, Bangalore</t>
  </si>
  <si>
    <t>455963, Kolkata</t>
  </si>
  <si>
    <t>537909, Hyderabad</t>
  </si>
  <si>
    <t>349200, Chennai</t>
  </si>
  <si>
    <t>744312, Mumbai</t>
  </si>
  <si>
    <t>725664, Chennai</t>
  </si>
  <si>
    <t>724834, Bangalore</t>
  </si>
  <si>
    <t>541916, Hyderabad</t>
  </si>
  <si>
    <t>537111, Delhi</t>
  </si>
  <si>
    <t>180219, Delhi</t>
  </si>
  <si>
    <t>286832, Delhi</t>
  </si>
  <si>
    <t>338876, Pune</t>
  </si>
  <si>
    <t>668154, Hyderabad</t>
  </si>
  <si>
    <t>940072, Delhi</t>
  </si>
  <si>
    <t>582221, Kolkata</t>
  </si>
  <si>
    <t>739447, Pune</t>
  </si>
  <si>
    <t>515459, Hyderabad</t>
  </si>
  <si>
    <t>551564, Chennai</t>
  </si>
  <si>
    <t>446415, Hyderabad</t>
  </si>
  <si>
    <t>287990, Chennai</t>
  </si>
  <si>
    <t>695516, Delhi</t>
  </si>
  <si>
    <t>822183, Kolkata</t>
  </si>
  <si>
    <t>958066, Pune</t>
  </si>
  <si>
    <t>558107, Hyderabad</t>
  </si>
  <si>
    <t>168640, Delhi</t>
  </si>
  <si>
    <t>222202, Bangalore</t>
  </si>
  <si>
    <t>256397, Hyderabad</t>
  </si>
  <si>
    <t>360213, Mumbai</t>
  </si>
  <si>
    <t>293719, Chennai</t>
  </si>
  <si>
    <t>968444, Chennai</t>
  </si>
  <si>
    <t>947170, Pune</t>
  </si>
  <si>
    <t>996329, Delhi</t>
  </si>
  <si>
    <t>709220, Kolkata</t>
  </si>
  <si>
    <t>731611, Pune</t>
  </si>
  <si>
    <t>631662, Chennai</t>
  </si>
  <si>
    <t>724178, Delhi</t>
  </si>
  <si>
    <t>834521, Kolkata</t>
  </si>
  <si>
    <t>269381, Mumbai</t>
  </si>
  <si>
    <t>892838, Mumbai</t>
  </si>
  <si>
    <t>324386, Bangalore</t>
  </si>
  <si>
    <t>834154, Bangalore</t>
  </si>
  <si>
    <t>405186, Delhi</t>
  </si>
  <si>
    <t>466134, Kolkata</t>
  </si>
  <si>
    <t>658255, Chennai</t>
  </si>
  <si>
    <t>269180, Chennai</t>
  </si>
  <si>
    <t>700707, Mumbai</t>
  </si>
  <si>
    <t>588608, Bangalore</t>
  </si>
  <si>
    <t>455801, Delhi</t>
  </si>
  <si>
    <t>165036, Chennai</t>
  </si>
  <si>
    <t>977488, Kolkata</t>
  </si>
  <si>
    <t>870991, Chennai</t>
  </si>
  <si>
    <t>381791, Hyderabad</t>
  </si>
  <si>
    <t>656842, Delhi</t>
  </si>
  <si>
    <t>220542, Mumbai</t>
  </si>
  <si>
    <t>416636, Hyderabad</t>
  </si>
  <si>
    <t>460698, Chennai</t>
  </si>
  <si>
    <t>878305, Kolkata</t>
  </si>
  <si>
    <t>343712, Hyderabad</t>
  </si>
  <si>
    <t>624804, Hyderabad</t>
  </si>
  <si>
    <t>550297, Pune</t>
  </si>
  <si>
    <t>753143, Chennai</t>
  </si>
  <si>
    <t>559634, Hyderabad</t>
  </si>
  <si>
    <t>567222, Pune</t>
  </si>
  <si>
    <t>803649, Pune</t>
  </si>
  <si>
    <t>129235, Bangalore</t>
  </si>
  <si>
    <t>332984, Bangalore</t>
  </si>
  <si>
    <t>290117, Mumbai</t>
  </si>
  <si>
    <t>224422, Kolkata</t>
  </si>
  <si>
    <t>234420, Hyderabad</t>
  </si>
  <si>
    <t>903854, Mumbai</t>
  </si>
  <si>
    <t>458629, Chennai</t>
  </si>
  <si>
    <t>778399, Hyderabad</t>
  </si>
  <si>
    <t>325543, Bangalore</t>
  </si>
  <si>
    <t>139518, Chennai</t>
  </si>
  <si>
    <t>257661, Mumbai</t>
  </si>
  <si>
    <t>360187, Chennai</t>
  </si>
  <si>
    <t>766988, Bangalore</t>
  </si>
  <si>
    <t>635685, Bangalore</t>
  </si>
  <si>
    <t>712756, Kolkata</t>
  </si>
  <si>
    <t>404030, Pune</t>
  </si>
  <si>
    <t>711112, Chennai</t>
  </si>
  <si>
    <t>183969, Bangalore</t>
  </si>
  <si>
    <t>111212, Bangalore</t>
  </si>
  <si>
    <t>808438, Bangalore</t>
  </si>
  <si>
    <t>321429, Kolkata</t>
  </si>
  <si>
    <t>260404, Chennai</t>
  </si>
  <si>
    <t>478913, Bangalore</t>
  </si>
  <si>
    <t>224786, Hyderabad</t>
  </si>
  <si>
    <t>331834, Chennai</t>
  </si>
  <si>
    <t>896537, Bangalore</t>
  </si>
  <si>
    <t>171833, Bangalore</t>
  </si>
  <si>
    <t>601778, Delhi</t>
  </si>
  <si>
    <t>162203, Pune</t>
  </si>
  <si>
    <t>460533, Hyderabad</t>
  </si>
  <si>
    <t>331025, Chennai</t>
  </si>
  <si>
    <t>746719, Chennai</t>
  </si>
  <si>
    <t>432379, Kolkata</t>
  </si>
  <si>
    <t>997589, Bangalore</t>
  </si>
  <si>
    <t>718770, Kolkata</t>
  </si>
  <si>
    <t>332013, Mumbai</t>
  </si>
  <si>
    <t>386204, Mumbai</t>
  </si>
  <si>
    <t>841203, Hyderabad</t>
  </si>
  <si>
    <t>504572, Pune</t>
  </si>
  <si>
    <t>377847, Chennai</t>
  </si>
  <si>
    <t>361174, Hyderabad</t>
  </si>
  <si>
    <t>440472, Hyderabad</t>
  </si>
  <si>
    <t>267516, Kolkata</t>
  </si>
  <si>
    <t>292588, Delhi</t>
  </si>
  <si>
    <t>562282, Kolkata</t>
  </si>
  <si>
    <t>572606, Delhi</t>
  </si>
  <si>
    <t>479583, Mumbai</t>
  </si>
  <si>
    <t>893324, Bangalore</t>
  </si>
  <si>
    <t>873709, Delhi</t>
  </si>
  <si>
    <t>648101, Mumbai</t>
  </si>
  <si>
    <t>466932, Kolkata</t>
  </si>
  <si>
    <t>673330, Mumbai</t>
  </si>
  <si>
    <t>610183, Hyderabad</t>
  </si>
  <si>
    <t>375210, Bangalore</t>
  </si>
  <si>
    <t>332404, Mumbai</t>
  </si>
  <si>
    <t>487482, Delhi</t>
  </si>
  <si>
    <t>425422, Chennai</t>
  </si>
  <si>
    <t>658829, Chennai</t>
  </si>
  <si>
    <t>203517, Delhi</t>
  </si>
  <si>
    <t>645421, Kolkata</t>
  </si>
  <si>
    <t>514542, Chennai</t>
  </si>
  <si>
    <t>121695, Bangalore</t>
  </si>
  <si>
    <t>802208, Mumbai</t>
  </si>
  <si>
    <t>115036, Mumbai</t>
  </si>
  <si>
    <t>192628, Mumbai</t>
  </si>
  <si>
    <t>627031, Hyderabad</t>
  </si>
  <si>
    <t>101537, Bangalore</t>
  </si>
  <si>
    <t>868405, Kolkata</t>
  </si>
  <si>
    <t>114474, Kolkata</t>
  </si>
  <si>
    <t>364860, Hyderabad</t>
  </si>
  <si>
    <t>143981, Delhi</t>
  </si>
  <si>
    <t>927743, Pune</t>
  </si>
  <si>
    <t>860340, Pune</t>
  </si>
  <si>
    <t>838612, Bangalore</t>
  </si>
  <si>
    <t>140844, Kolkata</t>
  </si>
  <si>
    <t>864568, Kolkata</t>
  </si>
  <si>
    <t>803132, Bangalore</t>
  </si>
  <si>
    <t>126653, Mumbai</t>
  </si>
  <si>
    <t>688543, Chennai</t>
  </si>
  <si>
    <t>960368, Pune</t>
  </si>
  <si>
    <t>267234, Kolkata</t>
  </si>
  <si>
    <t>563297, Kolkata</t>
  </si>
  <si>
    <t>701614, Bangalore</t>
  </si>
  <si>
    <t>810441, Mumbai</t>
  </si>
  <si>
    <t>999279, Hyderabad</t>
  </si>
  <si>
    <t>168560, Chennai</t>
  </si>
  <si>
    <t>805777, Mumbai</t>
  </si>
  <si>
    <t>496559, Kolkata</t>
  </si>
  <si>
    <t>383488, Chennai</t>
  </si>
  <si>
    <t>180671, Kolkata</t>
  </si>
  <si>
    <t>336096, Hyderabad</t>
  </si>
  <si>
    <t>247765, Bangalore</t>
  </si>
  <si>
    <t>255245, Mumbai</t>
  </si>
  <si>
    <t>504288, Kolkata</t>
  </si>
  <si>
    <t>578757, Bangalore</t>
  </si>
  <si>
    <t>528319, Pune</t>
  </si>
  <si>
    <t>643127, Mumbai</t>
  </si>
  <si>
    <t>214456, Chennai</t>
  </si>
  <si>
    <t>873117, Chennai</t>
  </si>
  <si>
    <t>183969, Hyderabad</t>
  </si>
  <si>
    <t>116967, Mumbai</t>
  </si>
  <si>
    <t>442070, Chennai</t>
  </si>
  <si>
    <t>531951, Hyderabad</t>
  </si>
  <si>
    <t>968451, Chennai</t>
  </si>
  <si>
    <t>700651, Hyderabad</t>
  </si>
  <si>
    <t>599684, Chennai</t>
  </si>
  <si>
    <t>546057, Pune</t>
  </si>
  <si>
    <t>282634, Pune</t>
  </si>
  <si>
    <t>519499, Mumbai</t>
  </si>
  <si>
    <t>301252, Chennai</t>
  </si>
  <si>
    <t>199004, Bangalore</t>
  </si>
  <si>
    <t>286036, Pune</t>
  </si>
  <si>
    <t>462051, Chennai</t>
  </si>
  <si>
    <t>134546, Kolkata</t>
  </si>
  <si>
    <t>540591, Delhi</t>
  </si>
  <si>
    <t>731572, Kolkata</t>
  </si>
  <si>
    <t>853016, Delhi</t>
  </si>
  <si>
    <t>319144, Kolkata</t>
  </si>
  <si>
    <t>555914, Hyderabad</t>
  </si>
  <si>
    <t>440840, Chennai</t>
  </si>
  <si>
    <t>894112, Chennai</t>
  </si>
  <si>
    <t>757645, Hyderabad</t>
  </si>
  <si>
    <t>981103, Delhi</t>
  </si>
  <si>
    <t>402040, Chennai</t>
  </si>
  <si>
    <t>389606, Pune</t>
  </si>
  <si>
    <t>326332, Bangalore</t>
  </si>
  <si>
    <t>318049, Hyderabad</t>
  </si>
  <si>
    <t>872629, Chennai</t>
  </si>
  <si>
    <t>474189, Delhi</t>
  </si>
  <si>
    <t>613024, Kolkata</t>
  </si>
  <si>
    <t>162799, Bangalore</t>
  </si>
  <si>
    <t>179156, Pune</t>
  </si>
  <si>
    <t>933796, Mumbai</t>
  </si>
  <si>
    <t>228901, Delhi</t>
  </si>
  <si>
    <t>887547, Pune</t>
  </si>
  <si>
    <t>848744, Delhi</t>
  </si>
  <si>
    <t>589929, Kolkata</t>
  </si>
  <si>
    <t>108313, Hyderabad</t>
  </si>
  <si>
    <t>196174, Bangalore</t>
  </si>
  <si>
    <t>640410, Bangalore</t>
  </si>
  <si>
    <t>173528, Chennai</t>
  </si>
  <si>
    <t>340811, Hyderabad</t>
  </si>
  <si>
    <t>804414, Bangalore</t>
  </si>
  <si>
    <t>110197, Mumbai</t>
  </si>
  <si>
    <t>794479, Kolkata</t>
  </si>
  <si>
    <t>551381, Pune</t>
  </si>
  <si>
    <t>166938, Mumbai</t>
  </si>
  <si>
    <t>676887, Hyderabad</t>
  </si>
  <si>
    <t>428565, Bangalore</t>
  </si>
  <si>
    <t>692889, Hyderabad</t>
  </si>
  <si>
    <t>212042, Bangalore</t>
  </si>
  <si>
    <t>807733, Kolkata</t>
  </si>
  <si>
    <t>604518, Delhi</t>
  </si>
  <si>
    <t>251734, Delhi</t>
  </si>
  <si>
    <t>253098, Pune</t>
  </si>
  <si>
    <t>468556, Bangalore</t>
  </si>
  <si>
    <t>745273, Bangalore</t>
  </si>
  <si>
    <t>457755, Mumbai</t>
  </si>
  <si>
    <t>148414, Mumbai</t>
  </si>
  <si>
    <t>398640, Chennai</t>
  </si>
  <si>
    <t>990198, Chennai</t>
  </si>
  <si>
    <t>432943, Kolkata</t>
  </si>
  <si>
    <t>663336, Bangalore</t>
  </si>
  <si>
    <t>270838, Delhi</t>
  </si>
  <si>
    <t>754186, Kolkata</t>
  </si>
  <si>
    <t>630307, Hyderabad</t>
  </si>
  <si>
    <t>875161, Mumbai</t>
  </si>
  <si>
    <t>732073, Bangalore</t>
  </si>
  <si>
    <t>291748, Mumbai</t>
  </si>
  <si>
    <t>181281, Bangalore</t>
  </si>
  <si>
    <t>251743, Chennai</t>
  </si>
  <si>
    <t>312228, Pune</t>
  </si>
  <si>
    <t>314179, Pune</t>
  </si>
  <si>
    <t>623716, Bangalore</t>
  </si>
  <si>
    <t>295668, Pune</t>
  </si>
  <si>
    <t>291039, Pune</t>
  </si>
  <si>
    <t>600840, Kolkata</t>
  </si>
  <si>
    <t>179023, Delhi</t>
  </si>
  <si>
    <t>462815, Bangalore</t>
  </si>
  <si>
    <t>558100, Mumbai</t>
  </si>
  <si>
    <t>450622, Delhi</t>
  </si>
  <si>
    <t>101845, Delhi</t>
  </si>
  <si>
    <t>766723, Chennai</t>
  </si>
  <si>
    <t>403112, Bangalore</t>
  </si>
  <si>
    <t>867824, Delhi</t>
  </si>
  <si>
    <t>861805, Kolkata</t>
  </si>
  <si>
    <t>581606, Mumbai</t>
  </si>
  <si>
    <t>684672, Hyderabad</t>
  </si>
  <si>
    <t>151233, Bangalore</t>
  </si>
  <si>
    <t>663720, Mumbai</t>
  </si>
  <si>
    <t>924840, Bangalore</t>
  </si>
  <si>
    <t>304087, Mumbai</t>
  </si>
  <si>
    <t>220054, Kolkata</t>
  </si>
  <si>
    <t>613335, Hyderabad</t>
  </si>
  <si>
    <t>471695, Pune</t>
  </si>
  <si>
    <t>744091, Delhi</t>
  </si>
  <si>
    <t>249790, Delhi</t>
  </si>
  <si>
    <t>157663, Hyderabad</t>
  </si>
  <si>
    <t>761687, Hyderabad</t>
  </si>
  <si>
    <t>629024, Kolkata</t>
  </si>
  <si>
    <t>597434, Mumbai</t>
  </si>
  <si>
    <t>334349, Delhi</t>
  </si>
  <si>
    <t>702609, Kolkata</t>
  </si>
  <si>
    <t>210810, Chennai</t>
  </si>
  <si>
    <t>908983, Pune</t>
  </si>
  <si>
    <t>257251, Mumbai</t>
  </si>
  <si>
    <t>856898, Chennai</t>
  </si>
  <si>
    <t>632033, Mumbai</t>
  </si>
  <si>
    <t>836475, Hyderabad</t>
  </si>
  <si>
    <t>937521, Delhi</t>
  </si>
  <si>
    <t>842588, Delhi</t>
  </si>
  <si>
    <t>451043, Chennai</t>
  </si>
  <si>
    <t>546397, Kolkata</t>
  </si>
  <si>
    <t>925690, Pune</t>
  </si>
  <si>
    <t>907305, Pune</t>
  </si>
  <si>
    <t>515054, Hyderabad</t>
  </si>
  <si>
    <t>383875, Pune</t>
  </si>
  <si>
    <t>139019, Delhi</t>
  </si>
  <si>
    <t>813786, Hyderabad</t>
  </si>
  <si>
    <t>174558, Chennai</t>
  </si>
  <si>
    <t>477668, Hyderabad</t>
  </si>
  <si>
    <t>756528, Kolkata</t>
  </si>
  <si>
    <t>205693, Pune</t>
  </si>
  <si>
    <t>519225, Kolkata</t>
  </si>
  <si>
    <t>301695, Bangalore</t>
  </si>
  <si>
    <t>511136, Chennai</t>
  </si>
  <si>
    <t>160949, Kolkata</t>
  </si>
  <si>
    <t>585113, Delhi</t>
  </si>
  <si>
    <t>831125, Chennai</t>
  </si>
  <si>
    <t>673286, Delhi</t>
  </si>
  <si>
    <t>604374, Kolkata</t>
  </si>
  <si>
    <t>472474, Bangalore</t>
  </si>
  <si>
    <t>454280, Kolkata</t>
  </si>
  <si>
    <t>428240, Pune</t>
  </si>
  <si>
    <t>244425, Bangalore</t>
  </si>
  <si>
    <t>957487, Pune</t>
  </si>
  <si>
    <t>999148, Mumbai</t>
  </si>
  <si>
    <t>412319, Bangalore</t>
  </si>
  <si>
    <t>625758, Hyderabad</t>
  </si>
  <si>
    <t>233621, Bangalore</t>
  </si>
  <si>
    <t>828371, Bangalore</t>
  </si>
  <si>
    <t>861168, Kolkata</t>
  </si>
  <si>
    <t>794795, Delhi</t>
  </si>
  <si>
    <t>525850, Mumbai</t>
  </si>
  <si>
    <t>507719, Delhi</t>
  </si>
  <si>
    <t>929994, Chennai</t>
  </si>
  <si>
    <t>622226, Hyderabad</t>
  </si>
  <si>
    <t>992362, Hyderabad</t>
  </si>
  <si>
    <t>559600, Delhi</t>
  </si>
  <si>
    <t>324941, Kolkata</t>
  </si>
  <si>
    <t>552214, Hyderabad</t>
  </si>
  <si>
    <t>999436, Mumbai</t>
  </si>
  <si>
    <t>698278, Mumbai</t>
  </si>
  <si>
    <t>528218, Mumbai</t>
  </si>
  <si>
    <t>103474, Mumbai</t>
  </si>
  <si>
    <t>944555, Delhi</t>
  </si>
  <si>
    <t>760034, Mumbai</t>
  </si>
  <si>
    <t>391347, Delhi</t>
  </si>
  <si>
    <t>809579, Bangalore</t>
  </si>
  <si>
    <t>418524, Delhi</t>
  </si>
  <si>
    <t>223744, Mumbai</t>
  </si>
  <si>
    <t>944453, Bangalore</t>
  </si>
  <si>
    <t>504786, Delhi</t>
  </si>
  <si>
    <t>912662, Chennai</t>
  </si>
  <si>
    <t>173366, Hyderabad</t>
  </si>
  <si>
    <t>341709, Mumbai</t>
  </si>
  <si>
    <t>844734, Pune</t>
  </si>
  <si>
    <t>924179, Bangalore</t>
  </si>
  <si>
    <t>131078, Hyderabad</t>
  </si>
  <si>
    <t>652776, Bangalore</t>
  </si>
  <si>
    <t>938761, Mumbai</t>
  </si>
  <si>
    <t>451660, Bangalore</t>
  </si>
  <si>
    <t>520410, Hyderabad</t>
  </si>
  <si>
    <t>229730, Kolkata</t>
  </si>
  <si>
    <t>865972, Delhi</t>
  </si>
  <si>
    <t>532090, Pune</t>
  </si>
  <si>
    <t>760372, Hyderabad</t>
  </si>
  <si>
    <t>745069, Bangalore</t>
  </si>
  <si>
    <t>386617, Chennai</t>
  </si>
  <si>
    <t>610350, Hyderabad</t>
  </si>
  <si>
    <t>902613, Delhi</t>
  </si>
  <si>
    <t>436091, Hyderabad</t>
  </si>
  <si>
    <t>604764, Mumbai</t>
  </si>
  <si>
    <t>146115, Hyderabad</t>
  </si>
  <si>
    <t>863758, Kolkata</t>
  </si>
  <si>
    <t>405811, Hyderabad</t>
  </si>
  <si>
    <t>346262, Hyderabad</t>
  </si>
  <si>
    <t>783802, Kolkata</t>
  </si>
  <si>
    <t>871630, Delhi</t>
  </si>
  <si>
    <t>606148, Pune</t>
  </si>
  <si>
    <t>612146, Delhi</t>
  </si>
  <si>
    <t>809338, Hyderabad</t>
  </si>
  <si>
    <t>935493, Bangalore</t>
  </si>
  <si>
    <t>144100, Chennai</t>
  </si>
  <si>
    <t>825346, Kolkata</t>
  </si>
  <si>
    <t>613119, Delhi</t>
  </si>
  <si>
    <t>998353, Delhi</t>
  </si>
  <si>
    <t>662834, Kolkata</t>
  </si>
  <si>
    <t>811831, Delhi</t>
  </si>
  <si>
    <t>636642, Kolkata</t>
  </si>
  <si>
    <t>837804, Delhi</t>
  </si>
  <si>
    <t>551754, Chennai</t>
  </si>
  <si>
    <t>559252, Chennai</t>
  </si>
  <si>
    <t>814687, Hyderabad</t>
  </si>
  <si>
    <t>636343, Delhi</t>
  </si>
  <si>
    <t>559952, Delhi</t>
  </si>
  <si>
    <t>945039, Delhi</t>
  </si>
  <si>
    <t>974383, Bangalore</t>
  </si>
  <si>
    <t>851886, Bangalore</t>
  </si>
  <si>
    <t>253001, Bangalore</t>
  </si>
  <si>
    <t>147116, Kolkata</t>
  </si>
  <si>
    <t>146331, Chennai</t>
  </si>
  <si>
    <t>539587, Chennai</t>
  </si>
  <si>
    <t>960563, Kolkata</t>
  </si>
  <si>
    <t>309271, Pune</t>
  </si>
  <si>
    <t>510425, Hyderabad</t>
  </si>
  <si>
    <t>472904, Hyderabad</t>
  </si>
  <si>
    <t>257974, Hyderabad</t>
  </si>
  <si>
    <t>383967, Delhi</t>
  </si>
  <si>
    <t>385972, Mumbai</t>
  </si>
  <si>
    <t>782707, Hyderabad</t>
  </si>
  <si>
    <t>349560, Chennai</t>
  </si>
  <si>
    <t>253683, Bangalore</t>
  </si>
  <si>
    <t>637367, Bangalore</t>
  </si>
  <si>
    <t>242456, Mumbai</t>
  </si>
  <si>
    <t>671944, Mumbai</t>
  </si>
  <si>
    <t>732199, Pune</t>
  </si>
  <si>
    <t>958681, Hyderabad</t>
  </si>
  <si>
    <t>996583, Hyderabad</t>
  </si>
  <si>
    <t>870514, Pune</t>
  </si>
  <si>
    <t>566454, Bangalore</t>
  </si>
  <si>
    <t>140712, Pune</t>
  </si>
  <si>
    <t>158892, Hyderabad</t>
  </si>
  <si>
    <t>431739, Hyderabad</t>
  </si>
  <si>
    <t>872259, Delhi</t>
  </si>
  <si>
    <t>FEMALE</t>
  </si>
  <si>
    <t>MALE</t>
  </si>
  <si>
    <t>OTHER</t>
  </si>
  <si>
    <t>Cleaned product</t>
  </si>
  <si>
    <t>18-06-2024</t>
  </si>
  <si>
    <t>18-06-2025</t>
  </si>
  <si>
    <t>18-06-2026</t>
  </si>
  <si>
    <t>18-06-2027</t>
  </si>
  <si>
    <t>18-06-2028</t>
  </si>
  <si>
    <t>18-06-2029</t>
  </si>
  <si>
    <t>18-06-2030</t>
  </si>
  <si>
    <t>18-06-2031</t>
  </si>
  <si>
    <t>18-06-2032</t>
  </si>
  <si>
    <t>18-06-2033</t>
  </si>
  <si>
    <t>18-06-2034</t>
  </si>
  <si>
    <t>18-06-2035</t>
  </si>
  <si>
    <t>18-06-2036</t>
  </si>
  <si>
    <t>18-06-2037</t>
  </si>
  <si>
    <t>18-06-2038</t>
  </si>
  <si>
    <t>18-06-2039</t>
  </si>
  <si>
    <t>18-06-2040</t>
  </si>
  <si>
    <t>18-06-2041</t>
  </si>
  <si>
    <t>18-06-2042</t>
  </si>
  <si>
    <t>18-06-2043</t>
  </si>
  <si>
    <t>18-06-2044</t>
  </si>
  <si>
    <t>18-06-2045</t>
  </si>
  <si>
    <t>18-06-2046</t>
  </si>
  <si>
    <t>18-06-2047</t>
  </si>
  <si>
    <t>18-06-2048</t>
  </si>
  <si>
    <t>18-06-2049</t>
  </si>
  <si>
    <t>18-06-2050</t>
  </si>
  <si>
    <t>18-06-2051</t>
  </si>
  <si>
    <t>18-06-2052</t>
  </si>
  <si>
    <t>18-06-2053</t>
  </si>
  <si>
    <t>18-06-2054</t>
  </si>
  <si>
    <t>18-06-2055</t>
  </si>
  <si>
    <t>18-06-2056</t>
  </si>
  <si>
    <t>18-06-2057</t>
  </si>
  <si>
    <t>18-06-2058</t>
  </si>
  <si>
    <t>18-06-2059</t>
  </si>
  <si>
    <t>18-06-2060</t>
  </si>
  <si>
    <t>18-06-2061</t>
  </si>
  <si>
    <t>18-06-2062</t>
  </si>
  <si>
    <t>18-06-2063</t>
  </si>
  <si>
    <t>18-06-2064</t>
  </si>
  <si>
    <t>18-06-2065</t>
  </si>
  <si>
    <t>18-06-2066</t>
  </si>
  <si>
    <t>18-06-2067</t>
  </si>
  <si>
    <t>18-06-2068</t>
  </si>
  <si>
    <t>18-06-2069</t>
  </si>
  <si>
    <t>18-06-2070</t>
  </si>
  <si>
    <t>18-06-2071</t>
  </si>
  <si>
    <t>18-06-2072</t>
  </si>
  <si>
    <t>18-06-2073</t>
  </si>
  <si>
    <t>18-06-2074</t>
  </si>
  <si>
    <t>18-06-2075</t>
  </si>
  <si>
    <t>18-06-2076</t>
  </si>
  <si>
    <t>18-06-2077</t>
  </si>
  <si>
    <t>18-06-2078</t>
  </si>
  <si>
    <t>18-06-2079</t>
  </si>
  <si>
    <t>18-06-2080</t>
  </si>
  <si>
    <t>18-06-2081</t>
  </si>
  <si>
    <t>18-06-2082</t>
  </si>
  <si>
    <t>18-06-2083</t>
  </si>
  <si>
    <t>18-06-2084</t>
  </si>
  <si>
    <t>18-06-2085</t>
  </si>
  <si>
    <t>18-06-2086</t>
  </si>
  <si>
    <t>18-06-2087</t>
  </si>
  <si>
    <t>18-06-2088</t>
  </si>
  <si>
    <t>18-06-2089</t>
  </si>
  <si>
    <t>18-06-2090</t>
  </si>
  <si>
    <t>18-06-2091</t>
  </si>
  <si>
    <t>18-06-2092</t>
  </si>
  <si>
    <t>18-06-2093</t>
  </si>
  <si>
    <t>18-06-2094</t>
  </si>
  <si>
    <t>18-06-2095</t>
  </si>
  <si>
    <t>18-06-2096</t>
  </si>
  <si>
    <t>18-06-2097</t>
  </si>
  <si>
    <t>18-06-2098</t>
  </si>
  <si>
    <t>18-06-2099</t>
  </si>
  <si>
    <t>18-06-2100</t>
  </si>
  <si>
    <t>18-06-2101</t>
  </si>
  <si>
    <t>18-06-2102</t>
  </si>
  <si>
    <t>18-06-2103</t>
  </si>
  <si>
    <t>18-06-2104</t>
  </si>
  <si>
    <t>18-06-2105</t>
  </si>
  <si>
    <t>18-06-2106</t>
  </si>
  <si>
    <t>18-06-2107</t>
  </si>
  <si>
    <t>18-06-2108</t>
  </si>
  <si>
    <t>18-06-2109</t>
  </si>
  <si>
    <t>18-06-2110</t>
  </si>
  <si>
    <t>18-06-2111</t>
  </si>
  <si>
    <t>18-06-2112</t>
  </si>
  <si>
    <t>18-06-2113</t>
  </si>
  <si>
    <t>18-06-2114</t>
  </si>
  <si>
    <t>18-06-2115</t>
  </si>
  <si>
    <t>18-06-2116</t>
  </si>
  <si>
    <t>18-06-2117</t>
  </si>
  <si>
    <t>18-06-2118</t>
  </si>
  <si>
    <t>18-06-2119</t>
  </si>
  <si>
    <t>18-06-2120</t>
  </si>
  <si>
    <t>18-06-2121</t>
  </si>
  <si>
    <t>18-06-2122</t>
  </si>
  <si>
    <t>18-06-2123</t>
  </si>
  <si>
    <t>18-06-2124</t>
  </si>
  <si>
    <t>18-06-2125</t>
  </si>
  <si>
    <t>18-06-2126</t>
  </si>
  <si>
    <t>18-06-2127</t>
  </si>
  <si>
    <t>18-06-2128</t>
  </si>
  <si>
    <t>18-06-2129</t>
  </si>
  <si>
    <t>18-06-2130</t>
  </si>
  <si>
    <t>18-06-2131</t>
  </si>
  <si>
    <t>18-06-2132</t>
  </si>
  <si>
    <t>18-06-2133</t>
  </si>
  <si>
    <t>18-06-2134</t>
  </si>
  <si>
    <t>18-06-2135</t>
  </si>
  <si>
    <t>18-06-2136</t>
  </si>
  <si>
    <t>18-06-2137</t>
  </si>
  <si>
    <t>18-06-2138</t>
  </si>
  <si>
    <t>18-06-2139</t>
  </si>
  <si>
    <t>18-06-2140</t>
  </si>
  <si>
    <t>18-06-2141</t>
  </si>
  <si>
    <t>18-06-2142</t>
  </si>
  <si>
    <t>18-06-2143</t>
  </si>
  <si>
    <t>18-06-2144</t>
  </si>
  <si>
    <t>18-06-2145</t>
  </si>
  <si>
    <t>18-06-2146</t>
  </si>
  <si>
    <t>18-06-2147</t>
  </si>
  <si>
    <t>18-06-2148</t>
  </si>
  <si>
    <t>18-06-2149</t>
  </si>
  <si>
    <t>18-06-2150</t>
  </si>
  <si>
    <t>18-06-2151</t>
  </si>
  <si>
    <t>18-06-2152</t>
  </si>
  <si>
    <t>18-06-2153</t>
  </si>
  <si>
    <t>18-06-2154</t>
  </si>
  <si>
    <t>18-06-2155</t>
  </si>
  <si>
    <t>18-06-2156</t>
  </si>
  <si>
    <t>18-06-2157</t>
  </si>
  <si>
    <t>18-06-2158</t>
  </si>
  <si>
    <t>18-06-2159</t>
  </si>
  <si>
    <t>18-06-2160</t>
  </si>
  <si>
    <t>18-06-2161</t>
  </si>
  <si>
    <t>18-06-2162</t>
  </si>
  <si>
    <t>18-06-2163</t>
  </si>
  <si>
    <t>18-06-2164</t>
  </si>
  <si>
    <t>18-06-2165</t>
  </si>
  <si>
    <t>18-06-2166</t>
  </si>
  <si>
    <t>18-06-2167</t>
  </si>
  <si>
    <t>18-06-2168</t>
  </si>
  <si>
    <t>18-06-2169</t>
  </si>
  <si>
    <t>18-06-2170</t>
  </si>
  <si>
    <t>18-06-2171</t>
  </si>
  <si>
    <t>18-06-2172</t>
  </si>
  <si>
    <t>18-06-2173</t>
  </si>
  <si>
    <t>18-06-2174</t>
  </si>
  <si>
    <t>18-06-2175</t>
  </si>
  <si>
    <t>18-06-2176</t>
  </si>
  <si>
    <t>18-06-2177</t>
  </si>
  <si>
    <t>18-06-2178</t>
  </si>
  <si>
    <t>18-06-2179</t>
  </si>
  <si>
    <t>18-06-2180</t>
  </si>
  <si>
    <t>18-06-2181</t>
  </si>
  <si>
    <t>18-06-2182</t>
  </si>
  <si>
    <t>18-06-2183</t>
  </si>
  <si>
    <t>18-06-2184</t>
  </si>
  <si>
    <t>18-06-2185</t>
  </si>
  <si>
    <t>18-06-2186</t>
  </si>
  <si>
    <t>18-06-2187</t>
  </si>
  <si>
    <t>18-06-2188</t>
  </si>
  <si>
    <t>18-06-2189</t>
  </si>
  <si>
    <t>18-06-2190</t>
  </si>
  <si>
    <t>18-06-2191</t>
  </si>
  <si>
    <t>18-06-2192</t>
  </si>
  <si>
    <t>18-06-2193</t>
  </si>
  <si>
    <t>18-06-2194</t>
  </si>
  <si>
    <t>18-06-2195</t>
  </si>
  <si>
    <t>18-06-2196</t>
  </si>
  <si>
    <t>18-06-2197</t>
  </si>
  <si>
    <t>18-06-2198</t>
  </si>
  <si>
    <t>18-06-2199</t>
  </si>
  <si>
    <t>18-06-2200</t>
  </si>
  <si>
    <t>18-06-2201</t>
  </si>
  <si>
    <t>18-06-2202</t>
  </si>
  <si>
    <t>18-06-2203</t>
  </si>
  <si>
    <t>18-06-2204</t>
  </si>
  <si>
    <t>18-06-2205</t>
  </si>
  <si>
    <t>18-06-2206</t>
  </si>
  <si>
    <t>18-06-2207</t>
  </si>
  <si>
    <t>18-06-2208</t>
  </si>
  <si>
    <t>18-06-2209</t>
  </si>
  <si>
    <t>18-06-2210</t>
  </si>
  <si>
    <t>18-06-2211</t>
  </si>
  <si>
    <t>18-06-2212</t>
  </si>
  <si>
    <t>18-06-2213</t>
  </si>
  <si>
    <t>18-06-2214</t>
  </si>
  <si>
    <t>18-06-2215</t>
  </si>
  <si>
    <t>18-06-2216</t>
  </si>
  <si>
    <t>18-06-2217</t>
  </si>
  <si>
    <t>18-06-2218</t>
  </si>
  <si>
    <t>18-06-2219</t>
  </si>
  <si>
    <t>18-06-2220</t>
  </si>
  <si>
    <t>18-06-2221</t>
  </si>
  <si>
    <t>18-06-2222</t>
  </si>
  <si>
    <t>$1158.68</t>
  </si>
  <si>
    <t>$1158.69</t>
  </si>
  <si>
    <t>$1158.70</t>
  </si>
  <si>
    <t>$1158.71</t>
  </si>
  <si>
    <t>$1158.72</t>
  </si>
  <si>
    <t>$1158.73</t>
  </si>
  <si>
    <t>$1158.74</t>
  </si>
  <si>
    <t>$1158.75</t>
  </si>
  <si>
    <t>$1158.76</t>
  </si>
  <si>
    <t>$1158.77</t>
  </si>
  <si>
    <t>$1158.78</t>
  </si>
  <si>
    <t>$1158.79</t>
  </si>
  <si>
    <t>$1158.80</t>
  </si>
  <si>
    <t>$1158.81</t>
  </si>
  <si>
    <t>$1158.82</t>
  </si>
  <si>
    <t>$1158.83</t>
  </si>
  <si>
    <t>$1158.84</t>
  </si>
  <si>
    <t>$1158.85</t>
  </si>
  <si>
    <t>$1158.86</t>
  </si>
  <si>
    <t>$1158.87</t>
  </si>
  <si>
    <t>$1158.88</t>
  </si>
  <si>
    <t>$1158.89</t>
  </si>
  <si>
    <t>$1158.90</t>
  </si>
  <si>
    <t>$1158.91</t>
  </si>
  <si>
    <t>$1158.92</t>
  </si>
  <si>
    <t>$1158.93</t>
  </si>
  <si>
    <t>$1158.94</t>
  </si>
  <si>
    <t>$1158.95</t>
  </si>
  <si>
    <t>$1158.96</t>
  </si>
  <si>
    <t>$1158.97</t>
  </si>
  <si>
    <t>$1158.98</t>
  </si>
  <si>
    <t>$1158.99</t>
  </si>
  <si>
    <t>$1158.100</t>
  </si>
  <si>
    <t>$1158.101</t>
  </si>
  <si>
    <t>$1158.102</t>
  </si>
  <si>
    <t>$1158.103</t>
  </si>
  <si>
    <t>$1158.104</t>
  </si>
  <si>
    <t>$1158.105</t>
  </si>
  <si>
    <t>$1158.106</t>
  </si>
  <si>
    <t>$1158.107</t>
  </si>
  <si>
    <t>$1158.108</t>
  </si>
  <si>
    <t>$1158.109</t>
  </si>
  <si>
    <t>$1158.110</t>
  </si>
  <si>
    <t>$1158.111</t>
  </si>
  <si>
    <t>$1158.112</t>
  </si>
  <si>
    <t>$1158.113</t>
  </si>
  <si>
    <t>$1158.114</t>
  </si>
  <si>
    <t>$1158.115</t>
  </si>
  <si>
    <t>$1158.116</t>
  </si>
  <si>
    <t>$1158.117</t>
  </si>
  <si>
    <t>$1158.118</t>
  </si>
  <si>
    <t>$1158.119</t>
  </si>
  <si>
    <t>$1158.120</t>
  </si>
  <si>
    <t>$1158.121</t>
  </si>
  <si>
    <t>$1158.122</t>
  </si>
  <si>
    <t>$1158.123</t>
  </si>
  <si>
    <t>$1158.124</t>
  </si>
  <si>
    <t>$1158.125</t>
  </si>
  <si>
    <t>$1158.126</t>
  </si>
  <si>
    <t>$1158.127</t>
  </si>
  <si>
    <t>$1158.128</t>
  </si>
  <si>
    <t>$1158.129</t>
  </si>
  <si>
    <t>$1158.130</t>
  </si>
  <si>
    <t>$1158.131</t>
  </si>
  <si>
    <t>$1158.132</t>
  </si>
  <si>
    <t>$1158.133</t>
  </si>
  <si>
    <t>$1158.134</t>
  </si>
  <si>
    <t>$1158.135</t>
  </si>
  <si>
    <t>$1158.136</t>
  </si>
  <si>
    <t>$1158.137</t>
  </si>
  <si>
    <t>$1158.138</t>
  </si>
  <si>
    <t>$1158.139</t>
  </si>
  <si>
    <t>$1158.140</t>
  </si>
  <si>
    <t>$1158.141</t>
  </si>
  <si>
    <t>$1158.142</t>
  </si>
  <si>
    <t>$1158.143</t>
  </si>
  <si>
    <t>$1158.144</t>
  </si>
  <si>
    <t>$1158.145</t>
  </si>
  <si>
    <t>$1158.146</t>
  </si>
  <si>
    <t>$1158.147</t>
  </si>
  <si>
    <t>$1158.148</t>
  </si>
  <si>
    <t>$1158.149</t>
  </si>
  <si>
    <t>$1158.150</t>
  </si>
  <si>
    <t>$1158.151</t>
  </si>
  <si>
    <t>$1158.152</t>
  </si>
  <si>
    <t>$1158.153</t>
  </si>
  <si>
    <t>$1158.154</t>
  </si>
  <si>
    <t>$1158.155</t>
  </si>
  <si>
    <t>$1158.156</t>
  </si>
  <si>
    <t>$1158.157</t>
  </si>
  <si>
    <t>$1158.158</t>
  </si>
  <si>
    <t>$1158.159</t>
  </si>
  <si>
    <t>$1158.160</t>
  </si>
  <si>
    <t>$1158.161</t>
  </si>
  <si>
    <t>$1158.162</t>
  </si>
  <si>
    <t>$1158.163</t>
  </si>
  <si>
    <t>$1158.164</t>
  </si>
  <si>
    <t>$1158.165</t>
  </si>
  <si>
    <t>$1158.166</t>
  </si>
  <si>
    <t>$1158.167</t>
  </si>
  <si>
    <t>$1158.168</t>
  </si>
  <si>
    <t>$1158.169</t>
  </si>
  <si>
    <t>$1158.170</t>
  </si>
  <si>
    <t>$1158.171</t>
  </si>
  <si>
    <t>$1158.172</t>
  </si>
  <si>
    <t>$1158.173</t>
  </si>
  <si>
    <t>$1158.174</t>
  </si>
  <si>
    <t>$1158.175</t>
  </si>
  <si>
    <t>$1158.176</t>
  </si>
  <si>
    <t>$1158.177</t>
  </si>
  <si>
    <t>$1158.178</t>
  </si>
  <si>
    <t>$1158.179</t>
  </si>
  <si>
    <t>$1158.180</t>
  </si>
  <si>
    <t>$1158.181</t>
  </si>
  <si>
    <t>$1158.182</t>
  </si>
  <si>
    <t>$1158.183</t>
  </si>
  <si>
    <t>$1158.184</t>
  </si>
  <si>
    <t>$1158.185</t>
  </si>
  <si>
    <t>$1158.186</t>
  </si>
  <si>
    <t>$1158.187</t>
  </si>
  <si>
    <t>$1158.188</t>
  </si>
  <si>
    <t>$1158.189</t>
  </si>
  <si>
    <t>$1158.190</t>
  </si>
  <si>
    <t>$1158.191</t>
  </si>
  <si>
    <t>$1158.192</t>
  </si>
  <si>
    <t>$1158.193</t>
  </si>
  <si>
    <t>$1158.194</t>
  </si>
  <si>
    <t>$1158.195</t>
  </si>
  <si>
    <t>$1158.196</t>
  </si>
  <si>
    <t>$1158.197</t>
  </si>
  <si>
    <t>$1158.198</t>
  </si>
  <si>
    <t>$1158.199</t>
  </si>
  <si>
    <t>$1158.200</t>
  </si>
  <si>
    <t>$1158.201</t>
  </si>
  <si>
    <t>$1158.202</t>
  </si>
  <si>
    <t>$1158.203</t>
  </si>
  <si>
    <t>$1158.204</t>
  </si>
  <si>
    <t>$1158.205</t>
  </si>
  <si>
    <t>$1158.206</t>
  </si>
  <si>
    <t>$1158.207</t>
  </si>
  <si>
    <t>$1158.208</t>
  </si>
  <si>
    <t>$1158.209</t>
  </si>
  <si>
    <t>$1158.210</t>
  </si>
  <si>
    <t>$1158.211</t>
  </si>
  <si>
    <t>$1158.212</t>
  </si>
  <si>
    <t>$1158.213</t>
  </si>
  <si>
    <t>$1158.214</t>
  </si>
  <si>
    <t>$1158.215</t>
  </si>
  <si>
    <t>$1158.216</t>
  </si>
  <si>
    <t>$1158.217</t>
  </si>
  <si>
    <t>$1158.218</t>
  </si>
  <si>
    <t>$1158.219</t>
  </si>
  <si>
    <t>$1158.220</t>
  </si>
  <si>
    <t>$1158.221</t>
  </si>
  <si>
    <t>$1158.222</t>
  </si>
  <si>
    <t>$1158.223</t>
  </si>
  <si>
    <t>$1158.224</t>
  </si>
  <si>
    <t>$1158.225</t>
  </si>
  <si>
    <t>$1158.226</t>
  </si>
  <si>
    <t>$1158.227</t>
  </si>
  <si>
    <t>$1158.228</t>
  </si>
  <si>
    <t>$1158.229</t>
  </si>
  <si>
    <t>$1158.230</t>
  </si>
  <si>
    <t>$1158.231</t>
  </si>
  <si>
    <t>$1158.232</t>
  </si>
  <si>
    <t>$1158.233</t>
  </si>
  <si>
    <t>$1158.234</t>
  </si>
  <si>
    <t>$1158.235</t>
  </si>
  <si>
    <t>$1158.236</t>
  </si>
  <si>
    <t>$1158.237</t>
  </si>
  <si>
    <t>$1158.238</t>
  </si>
  <si>
    <t>$1158.239</t>
  </si>
  <si>
    <t>$1158.240</t>
  </si>
  <si>
    <t>$1158.241</t>
  </si>
  <si>
    <t>$1158.242</t>
  </si>
  <si>
    <t>$1158.243</t>
  </si>
  <si>
    <t>$1158.244</t>
  </si>
  <si>
    <t>$1158.245</t>
  </si>
  <si>
    <t>$1158.246</t>
  </si>
  <si>
    <t>$1158.247</t>
  </si>
  <si>
    <t>$1158.248</t>
  </si>
  <si>
    <t>$1158.249</t>
  </si>
  <si>
    <t>$1158.250</t>
  </si>
  <si>
    <t>$1158.251</t>
  </si>
  <si>
    <t>$1158.252</t>
  </si>
  <si>
    <t>$1158.253</t>
  </si>
  <si>
    <t>$1158.254</t>
  </si>
  <si>
    <t>$1158.255</t>
  </si>
  <si>
    <t>$1158.256</t>
  </si>
  <si>
    <t>$1158.257</t>
  </si>
  <si>
    <t>$1158.258</t>
  </si>
  <si>
    <t>$1158.259</t>
  </si>
  <si>
    <t>$1158.260</t>
  </si>
  <si>
    <t>$1158.261</t>
  </si>
  <si>
    <t>$1158.262</t>
  </si>
  <si>
    <t>$1158.263</t>
  </si>
  <si>
    <t>$1158.264</t>
  </si>
  <si>
    <t>$1158.265</t>
  </si>
  <si>
    <t>$1158.266</t>
  </si>
  <si>
    <t>$1158.267</t>
  </si>
  <si>
    <t>$C$4</t>
  </si>
  <si>
    <t>$C$5</t>
  </si>
  <si>
    <t>$C$6</t>
  </si>
  <si>
    <t>current scenario</t>
  </si>
  <si>
    <t>Created by FATHIMA MA on 19-10-2026</t>
  </si>
  <si>
    <t>low quantity</t>
  </si>
  <si>
    <t>high quantity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</si>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</sst>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6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rgb="FF000000"/>
      <name val="&quot;Aptos Narrow&quot;"/>
    </font>
    <font>
      <sz val="11"/>
      <name val="Aptos Narrow"/>
      <family val="2"/>
    </font>
    <font>
      <sz val="11"/>
      <color rgb="FF000000"/>
      <name val="&quot;Aptos Narrow&quot;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94D8"/>
        <bgColor rgb="FF4D94D8"/>
      </patternFill>
    </fill>
    <fill>
      <patternFill patternType="solid">
        <fgColor rgb="FFFFFF00"/>
        <bgColor rgb="FFFFFF00"/>
      </patternFill>
    </fill>
    <fill>
      <patternFill patternType="solid">
        <fgColor rgb="FF215E99"/>
        <bgColor rgb="FF215E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1" fillId="4" borderId="1" xfId="0" applyFont="1" applyFill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2" fontId="1" fillId="0" borderId="0" xfId="0" applyNumberFormat="1" applyFont="1"/>
    <xf numFmtId="0" fontId="6" fillId="2" borderId="1" xfId="0" applyFont="1" applyFill="1" applyBorder="1" applyAlignment="1">
      <alignment horizontal="center" vertical="top"/>
    </xf>
    <xf numFmtId="2" fontId="6" fillId="2" borderId="1" xfId="0" applyNumberFormat="1" applyFont="1" applyFill="1" applyBorder="1" applyAlignment="1">
      <alignment horizontal="center" vertical="top"/>
    </xf>
    <xf numFmtId="164" fontId="1" fillId="0" borderId="1" xfId="0" applyNumberFormat="1" applyFont="1" applyBorder="1"/>
    <xf numFmtId="0" fontId="5" fillId="0" borderId="1" xfId="0" applyFont="1" applyBorder="1"/>
    <xf numFmtId="0" fontId="7" fillId="0" borderId="1" xfId="0" applyFont="1" applyBorder="1"/>
    <xf numFmtId="0" fontId="1" fillId="3" borderId="1" xfId="0" applyFont="1" applyFill="1" applyBorder="1"/>
    <xf numFmtId="2" fontId="1" fillId="0" borderId="1" xfId="0" applyNumberFormat="1" applyFont="1" applyBorder="1"/>
    <xf numFmtId="2" fontId="0" fillId="0" borderId="0" xfId="0" applyNumberFormat="1"/>
    <xf numFmtId="0" fontId="8" fillId="0" borderId="1" xfId="0" applyFont="1" applyBorder="1" applyAlignment="1">
      <alignment vertical="center" wrapText="1"/>
    </xf>
    <xf numFmtId="14" fontId="1" fillId="0" borderId="1" xfId="0" applyNumberFormat="1" applyFont="1" applyBorder="1"/>
    <xf numFmtId="164" fontId="0" fillId="0" borderId="0" xfId="0" applyNumberFormat="1"/>
    <xf numFmtId="0" fontId="8" fillId="0" borderId="1" xfId="0" applyFont="1" applyBorder="1"/>
    <xf numFmtId="0" fontId="0" fillId="0" borderId="3" xfId="0" applyBorder="1"/>
    <xf numFmtId="0" fontId="0" fillId="0" borderId="5" xfId="0" applyBorder="1"/>
    <xf numFmtId="0" fontId="11" fillId="5" borderId="6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0" fillId="0" borderId="7" xfId="0" applyBorder="1"/>
    <xf numFmtId="0" fontId="12" fillId="6" borderId="3" xfId="0" applyFont="1" applyFill="1" applyBorder="1" applyAlignment="1">
      <alignment horizontal="left"/>
    </xf>
    <xf numFmtId="0" fontId="13" fillId="6" borderId="7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right"/>
    </xf>
    <xf numFmtId="0" fontId="14" fillId="5" borderId="6" xfId="0" applyFont="1" applyFill="1" applyBorder="1" applyAlignment="1">
      <alignment horizontal="right"/>
    </xf>
    <xf numFmtId="0" fontId="0" fillId="7" borderId="3" xfId="0" applyFill="1" applyBorder="1"/>
    <xf numFmtId="0" fontId="15" fillId="0" borderId="3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ILPA\SHILPA\EXCERCI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ATALYST%20EDUCATION\ACADEMIC%20DEPARTMENT\CATALYST%20CAT%20LAB\MS%20EXCEL\EXCEL%20BASICS%20TO%20ADVANCED%20DAY-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XCEL%20FULL%20COURSE%20(version%205)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\Excel%20Begi-Adv\.Copy%20of%20EXCEL%20FULL%20COURSE%20orginal%20(1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STN 1"/>
      <sheetName val="call statistics"/>
      <sheetName val="FORMULA"/>
      <sheetName val="LOGICAL FUNCTION"/>
      <sheetName val="custom view"/>
      <sheetName val="Sheet1"/>
      <sheetName val="CHART"/>
      <sheetName val="payrol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ustom View"/>
      <sheetName val="TextToColumna"/>
      <sheetName val="Hyperlink &amp; Protect File"/>
      <sheetName val="Print Page Setup &amp; Print data T"/>
      <sheetName val="Basics of Formula"/>
      <sheetName val="Formula Auditing"/>
      <sheetName val="Name Manager"/>
      <sheetName val="Logical Test"/>
      <sheetName val="IF"/>
      <sheetName val="ABS"/>
      <sheetName val="Sumproduct"/>
      <sheetName val="Conditional Formatting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BLE (2)"/>
      <sheetName val="Getting Started"/>
      <sheetName val="Sheet2"/>
      <sheetName val="Sheet1"/>
      <sheetName val="Editing Data"/>
      <sheetName val="Short keys"/>
      <sheetName val="Advance Fill"/>
      <sheetName val="Sheet19"/>
      <sheetName val="Fill Series"/>
      <sheetName val="Flash Fill"/>
      <sheetName val="Copying&amp;Pasting"/>
      <sheetName val="Formating"/>
      <sheetName val="Working with WB &amp; WS"/>
      <sheetName val="Basic Formulas"/>
      <sheetName val="Cell Reference"/>
      <sheetName val="Basic Function"/>
      <sheetName val="Logical Functions"/>
      <sheetName val="Date Function"/>
      <sheetName val="Statistical Functions"/>
      <sheetName val="Text Function"/>
      <sheetName val="Remove Duplicates"/>
      <sheetName val="Custom View"/>
      <sheetName val="Text To Columns"/>
      <sheetName val="Conditional Formatting"/>
      <sheetName val="Sorting,Filtering &amp; Sub Total"/>
      <sheetName val="Freezing"/>
      <sheetName val="Data Validation"/>
      <sheetName val="Hyperlink &amp; Protect File"/>
      <sheetName val="Table"/>
      <sheetName val="Chart"/>
      <sheetName val="Sheet5"/>
      <sheetName val="Sheet20"/>
      <sheetName val="Sheet21"/>
      <sheetName val="Pivot Table &amp; Pivot Chart"/>
      <sheetName val="Data Consolidation"/>
      <sheetName val="Print Page Setup"/>
      <sheetName val="Index &amp; Match Function"/>
      <sheetName val="LOOKUP"/>
      <sheetName val="VLOOKUP with Exact Match"/>
      <sheetName val="VLOOKUP with Approximate Match"/>
      <sheetName val="Trim &amp; Vlookup"/>
      <sheetName val="stock summary"/>
      <sheetName val="sales"/>
      <sheetName val="purchase"/>
      <sheetName val="HLOOKUP"/>
      <sheetName val="PAYROLL"/>
      <sheetName val="CALCULATION "/>
      <sheetName val="journal"/>
      <sheetName val="trial balance"/>
      <sheetName val="profit and loss"/>
      <sheetName val="Cash Flow"/>
      <sheetName val="Budget"/>
      <sheetName val="Practice -1"/>
      <sheetName val="Practice -2"/>
      <sheetName val="DATA TABLE"/>
      <sheetName val="SCENARIO"/>
      <sheetName val="Scenario Summary"/>
      <sheetName val="GOAL SEEK"/>
      <sheetName val="PMT"/>
      <sheetName val="MACRO"/>
      <sheetName val="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tting Started"/>
      <sheetName val="Editing Data"/>
      <sheetName val="Short keys"/>
      <sheetName val="Formating"/>
      <sheetName val="Advance Fill"/>
      <sheetName val="Fill Series"/>
      <sheetName val="Flash Fill"/>
      <sheetName val="Copying&amp;Pasting"/>
      <sheetName val="Working with WB &amp; WS"/>
      <sheetName val="Basic Formulas"/>
      <sheetName val="Cell Reference"/>
      <sheetName val="Basic Function"/>
      <sheetName val="Logical Functions"/>
      <sheetName val="Date Function"/>
      <sheetName val="Statistical Functions"/>
      <sheetName val="Text Function"/>
      <sheetName val="Remove Duplicates"/>
      <sheetName val="Custom View"/>
      <sheetName val="Text To Columns"/>
      <sheetName val="Conditional Formatting"/>
      <sheetName val="Sorting,Filtering &amp; Sub Total"/>
      <sheetName val="Freezing"/>
      <sheetName val="Data Validation"/>
      <sheetName val="Hyperlink &amp; Protect File"/>
      <sheetName val="Table"/>
      <sheetName val="Chart"/>
      <sheetName val="Pivot Table &amp; Pivot Chart"/>
      <sheetName val="Data Consolidation"/>
      <sheetName val="Print Page Setup"/>
      <sheetName val="Index &amp; Match Function"/>
      <sheetName val="LOOKUP"/>
      <sheetName val="VLOOKUP with Exact Match"/>
      <sheetName val="VLOOKUP with Approximate Match"/>
      <sheetName val="Trim &amp; Vlookup"/>
      <sheetName val="stock summary"/>
      <sheetName val="sales"/>
      <sheetName val="purchase"/>
      <sheetName val="HLOOKUP"/>
      <sheetName val="PAYROLL"/>
      <sheetName val="CALCULATION "/>
      <sheetName val="Cash Flow"/>
      <sheetName val="Budget"/>
      <sheetName val="Practice -1"/>
      <sheetName val="Practice -2"/>
      <sheetName val="DATA TABLE"/>
      <sheetName val="SCENARIO"/>
      <sheetName val="Scenario Summary"/>
      <sheetName val="PMT"/>
      <sheetName val="MACRO"/>
      <sheetName val="TALLY"/>
      <sheetName val=" chart of accounts"/>
      <sheetName val="journal (2)"/>
      <sheetName val=" trial balance"/>
      <sheetName val=" p &amp; l account"/>
      <sheetName val=" balance sheet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00"/>
  <sheetViews>
    <sheetView workbookViewId="0"/>
  </sheetViews>
  <sheetFormatPr defaultColWidth="12.6640625" defaultRowHeight="15" customHeight="1"/>
  <cols>
    <col min="1" max="1" width="8.6640625" customWidth="1"/>
    <col min="2" max="2" width="9.77734375" customWidth="1"/>
    <col min="3" max="3" width="40.109375" customWidth="1"/>
    <col min="4" max="4" width="97.109375" customWidth="1"/>
    <col min="5" max="25" width="8.6640625" customWidth="1"/>
  </cols>
  <sheetData>
    <row r="3" spans="2:4" ht="14.4">
      <c r="B3" s="2" t="s">
        <v>3</v>
      </c>
      <c r="C3" s="5" t="s">
        <v>17</v>
      </c>
      <c r="D3" s="5" t="s">
        <v>21</v>
      </c>
    </row>
    <row r="4" spans="2:4" ht="14.4">
      <c r="B4" s="6">
        <v>1</v>
      </c>
      <c r="C4" s="7" t="s">
        <v>27</v>
      </c>
      <c r="D4" s="7" t="s">
        <v>30</v>
      </c>
    </row>
    <row r="5" spans="2:4" ht="14.4">
      <c r="B5" s="6">
        <v>2</v>
      </c>
      <c r="C5" s="7" t="s">
        <v>32</v>
      </c>
      <c r="D5" s="7" t="s">
        <v>34</v>
      </c>
    </row>
    <row r="6" spans="2:4" ht="14.4">
      <c r="B6" s="6">
        <v>3</v>
      </c>
      <c r="C6" s="7" t="s">
        <v>36</v>
      </c>
      <c r="D6" s="7" t="s">
        <v>37</v>
      </c>
    </row>
    <row r="7" spans="2:4" ht="14.4">
      <c r="B7" s="6">
        <v>4</v>
      </c>
      <c r="C7" s="7" t="s">
        <v>38</v>
      </c>
      <c r="D7" s="7" t="s">
        <v>40</v>
      </c>
    </row>
    <row r="8" spans="2:4" ht="14.4">
      <c r="B8" s="6">
        <v>5</v>
      </c>
      <c r="C8" s="7" t="s">
        <v>42</v>
      </c>
      <c r="D8" s="7" t="s">
        <v>43</v>
      </c>
    </row>
    <row r="9" spans="2:4" ht="14.4">
      <c r="B9" s="6">
        <v>6</v>
      </c>
      <c r="C9" s="7" t="s">
        <v>45</v>
      </c>
      <c r="D9" s="7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3"/>
  <sheetViews>
    <sheetView workbookViewId="0">
      <selection activeCell="G4" sqref="G4"/>
    </sheetView>
  </sheetViews>
  <sheetFormatPr defaultColWidth="12.6640625" defaultRowHeight="15" customHeight="1"/>
  <cols>
    <col min="1" max="1" width="8.6640625" customWidth="1"/>
    <col min="2" max="2" width="11.77734375" customWidth="1"/>
    <col min="3" max="3" width="10.6640625" customWidth="1"/>
    <col min="4" max="4" width="10.21875" customWidth="1"/>
    <col min="5" max="5" width="13.88671875" customWidth="1"/>
    <col min="6" max="6" width="17.88671875" customWidth="1"/>
    <col min="7" max="26" width="8.6640625" customWidth="1"/>
  </cols>
  <sheetData>
    <row r="1" spans="2:6" ht="14.4">
      <c r="D1" s="37" t="s">
        <v>1</v>
      </c>
      <c r="E1" s="38"/>
    </row>
    <row r="3" spans="2:6" ht="14.4"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2:6" ht="14.4">
      <c r="B4" s="3">
        <v>15321</v>
      </c>
      <c r="C4" s="3" t="s">
        <v>19</v>
      </c>
      <c r="D4" s="3" t="s">
        <v>20</v>
      </c>
      <c r="E4" s="3" t="str">
        <f>_xlfn.CONCAT(C4," ",D4)</f>
        <v>Arun Singh</v>
      </c>
      <c r="F4" s="3" t="s">
        <v>22</v>
      </c>
    </row>
    <row r="5" spans="2:6" ht="14.4">
      <c r="B5" s="3">
        <v>15322</v>
      </c>
      <c r="C5" s="3" t="s">
        <v>24</v>
      </c>
      <c r="D5" s="3" t="s">
        <v>20</v>
      </c>
      <c r="E5" s="3" t="str">
        <f t="shared" ref="E5:E68" si="0">_xlfn.CONCAT(C5," ",D5)</f>
        <v>Diya Singh</v>
      </c>
      <c r="F5" s="3" t="s">
        <v>25</v>
      </c>
    </row>
    <row r="6" spans="2:6" ht="14.4">
      <c r="B6" s="3">
        <v>15323</v>
      </c>
      <c r="C6" s="3" t="s">
        <v>26</v>
      </c>
      <c r="D6" s="3" t="s">
        <v>28</v>
      </c>
      <c r="E6" s="3" t="str">
        <f t="shared" si="0"/>
        <v>Kiran Menon</v>
      </c>
      <c r="F6" s="3" t="s">
        <v>29</v>
      </c>
    </row>
    <row r="7" spans="2:6" ht="14.4">
      <c r="B7" s="3">
        <v>15324</v>
      </c>
      <c r="C7" s="3" t="s">
        <v>31</v>
      </c>
      <c r="D7" s="3" t="s">
        <v>33</v>
      </c>
      <c r="E7" s="3" t="str">
        <f t="shared" si="0"/>
        <v>Sneha Nair</v>
      </c>
      <c r="F7" s="3" t="s">
        <v>35</v>
      </c>
    </row>
    <row r="8" spans="2:6" ht="14.4">
      <c r="B8" s="3">
        <v>15325</v>
      </c>
      <c r="C8" s="3" t="s">
        <v>39</v>
      </c>
      <c r="D8" s="3" t="s">
        <v>33</v>
      </c>
      <c r="E8" s="3" t="str">
        <f t="shared" si="0"/>
        <v>Tom Nair</v>
      </c>
      <c r="F8" s="3" t="s">
        <v>41</v>
      </c>
    </row>
    <row r="9" spans="2:6" ht="14.4">
      <c r="B9" s="3">
        <v>15326</v>
      </c>
      <c r="C9" s="3" t="s">
        <v>44</v>
      </c>
      <c r="D9" s="3" t="s">
        <v>46</v>
      </c>
      <c r="E9" s="3" t="str">
        <f t="shared" si="0"/>
        <v>Anu Sharma</v>
      </c>
      <c r="F9" s="3" t="s">
        <v>48</v>
      </c>
    </row>
    <row r="10" spans="2:6" ht="14.4">
      <c r="B10" s="3">
        <v>15327</v>
      </c>
      <c r="C10" s="3" t="s">
        <v>24</v>
      </c>
      <c r="D10" s="3" t="s">
        <v>49</v>
      </c>
      <c r="E10" s="3" t="str">
        <f t="shared" si="0"/>
        <v>Diya Patel</v>
      </c>
      <c r="F10" s="3" t="s">
        <v>50</v>
      </c>
    </row>
    <row r="11" spans="2:6" ht="14.4">
      <c r="B11" s="3">
        <v>15328</v>
      </c>
      <c r="C11" s="3" t="s">
        <v>51</v>
      </c>
      <c r="D11" s="3" t="s">
        <v>46</v>
      </c>
      <c r="E11" s="3" t="str">
        <f t="shared" si="0"/>
        <v>Rahul Sharma</v>
      </c>
      <c r="F11" s="3" t="s">
        <v>52</v>
      </c>
    </row>
    <row r="12" spans="2:6" ht="14.4">
      <c r="B12" s="3">
        <v>15329</v>
      </c>
      <c r="C12" s="3" t="s">
        <v>51</v>
      </c>
      <c r="D12" s="3" t="s">
        <v>53</v>
      </c>
      <c r="E12" s="3" t="str">
        <f t="shared" si="0"/>
        <v>Rahul Kumar</v>
      </c>
      <c r="F12" s="3" t="s">
        <v>54</v>
      </c>
    </row>
    <row r="13" spans="2:6" ht="14.4">
      <c r="B13" s="3">
        <v>15330</v>
      </c>
      <c r="C13" s="3" t="s">
        <v>55</v>
      </c>
      <c r="D13" s="3" t="s">
        <v>49</v>
      </c>
      <c r="E13" s="3" t="str">
        <f t="shared" si="0"/>
        <v>Amit Patel</v>
      </c>
      <c r="F13" s="3" t="s">
        <v>56</v>
      </c>
    </row>
    <row r="14" spans="2:6" ht="14.4">
      <c r="B14" s="3">
        <v>15331</v>
      </c>
      <c r="C14" s="3" t="s">
        <v>19</v>
      </c>
      <c r="D14" s="3" t="s">
        <v>57</v>
      </c>
      <c r="E14" s="3" t="str">
        <f t="shared" si="0"/>
        <v>Arun Yadav</v>
      </c>
      <c r="F14" s="3" t="s">
        <v>58</v>
      </c>
    </row>
    <row r="15" spans="2:6" ht="14.4">
      <c r="B15" s="3">
        <v>15332</v>
      </c>
      <c r="C15" s="3" t="s">
        <v>39</v>
      </c>
      <c r="D15" s="3" t="s">
        <v>53</v>
      </c>
      <c r="E15" s="3" t="str">
        <f t="shared" si="0"/>
        <v>Tom Kumar</v>
      </c>
      <c r="F15" s="3" t="s">
        <v>59</v>
      </c>
    </row>
    <row r="16" spans="2:6" ht="14.4">
      <c r="B16" s="3">
        <v>15333</v>
      </c>
      <c r="C16" s="3" t="s">
        <v>39</v>
      </c>
      <c r="D16" s="3" t="s">
        <v>57</v>
      </c>
      <c r="E16" s="3" t="str">
        <f t="shared" si="0"/>
        <v>Tom Yadav</v>
      </c>
      <c r="F16" s="3" t="s">
        <v>60</v>
      </c>
    </row>
    <row r="17" spans="2:6" ht="14.4">
      <c r="B17" s="3">
        <v>15334</v>
      </c>
      <c r="C17" s="3" t="s">
        <v>61</v>
      </c>
      <c r="D17" s="3" t="s">
        <v>57</v>
      </c>
      <c r="E17" s="3" t="str">
        <f t="shared" si="0"/>
        <v>Jack Yadav</v>
      </c>
      <c r="F17" s="3" t="s">
        <v>62</v>
      </c>
    </row>
    <row r="18" spans="2:6" ht="14.4">
      <c r="B18" s="3">
        <v>15335</v>
      </c>
      <c r="C18" s="3" t="s">
        <v>61</v>
      </c>
      <c r="D18" s="3" t="s">
        <v>46</v>
      </c>
      <c r="E18" s="3" t="str">
        <f t="shared" si="0"/>
        <v>Jack Sharma</v>
      </c>
      <c r="F18" s="3" t="s">
        <v>63</v>
      </c>
    </row>
    <row r="19" spans="2:6" ht="14.4">
      <c r="B19" s="3">
        <v>15336</v>
      </c>
      <c r="C19" s="3" t="s">
        <v>39</v>
      </c>
      <c r="D19" s="3" t="s">
        <v>53</v>
      </c>
      <c r="E19" s="3" t="str">
        <f t="shared" si="0"/>
        <v>Tom Kumar</v>
      </c>
      <c r="F19" s="3" t="s">
        <v>64</v>
      </c>
    </row>
    <row r="20" spans="2:6" ht="14.4">
      <c r="B20" s="3">
        <v>15337</v>
      </c>
      <c r="C20" s="3" t="s">
        <v>26</v>
      </c>
      <c r="D20" s="3" t="s">
        <v>57</v>
      </c>
      <c r="E20" s="3" t="str">
        <f t="shared" si="0"/>
        <v>Kiran Yadav</v>
      </c>
      <c r="F20" s="3" t="s">
        <v>65</v>
      </c>
    </row>
    <row r="21" spans="2:6" ht="15.75" customHeight="1">
      <c r="B21" s="3">
        <v>15338</v>
      </c>
      <c r="C21" s="3" t="s">
        <v>39</v>
      </c>
      <c r="D21" s="3" t="s">
        <v>53</v>
      </c>
      <c r="E21" s="3" t="str">
        <f t="shared" si="0"/>
        <v>Tom Kumar</v>
      </c>
      <c r="F21" s="3" t="s">
        <v>66</v>
      </c>
    </row>
    <row r="22" spans="2:6" ht="15.75" customHeight="1">
      <c r="B22" s="3">
        <v>15339</v>
      </c>
      <c r="C22" s="3" t="s">
        <v>67</v>
      </c>
      <c r="D22" s="3" t="s">
        <v>49</v>
      </c>
      <c r="E22" s="3" t="str">
        <f t="shared" si="0"/>
        <v>Neha Patel</v>
      </c>
      <c r="F22" s="3" t="s">
        <v>68</v>
      </c>
    </row>
    <row r="23" spans="2:6" ht="15.75" customHeight="1">
      <c r="B23" s="3">
        <v>15340</v>
      </c>
      <c r="C23" s="3" t="s">
        <v>39</v>
      </c>
      <c r="D23" s="3" t="s">
        <v>49</v>
      </c>
      <c r="E23" s="3" t="str">
        <f t="shared" si="0"/>
        <v>Tom Patel</v>
      </c>
      <c r="F23" s="3" t="s">
        <v>69</v>
      </c>
    </row>
    <row r="24" spans="2:6" ht="15.75" customHeight="1">
      <c r="B24" s="3">
        <v>15341</v>
      </c>
      <c r="C24" s="3" t="s">
        <v>51</v>
      </c>
      <c r="D24" s="3" t="s">
        <v>20</v>
      </c>
      <c r="E24" s="3" t="str">
        <f t="shared" si="0"/>
        <v>Rahul Singh</v>
      </c>
      <c r="F24" s="3" t="s">
        <v>70</v>
      </c>
    </row>
    <row r="25" spans="2:6" ht="15.75" customHeight="1">
      <c r="B25" s="3">
        <v>15342</v>
      </c>
      <c r="C25" s="3" t="s">
        <v>24</v>
      </c>
      <c r="D25" s="3" t="s">
        <v>46</v>
      </c>
      <c r="E25" s="3" t="str">
        <f t="shared" si="0"/>
        <v>Diya Sharma</v>
      </c>
      <c r="F25" s="3" t="s">
        <v>71</v>
      </c>
    </row>
    <row r="26" spans="2:6" ht="15.75" customHeight="1">
      <c r="B26" s="3">
        <v>15343</v>
      </c>
      <c r="C26" s="3" t="s">
        <v>31</v>
      </c>
      <c r="D26" s="3" t="s">
        <v>53</v>
      </c>
      <c r="E26" s="3" t="str">
        <f t="shared" si="0"/>
        <v>Sneha Kumar</v>
      </c>
      <c r="F26" s="3" t="s">
        <v>72</v>
      </c>
    </row>
    <row r="27" spans="2:6" ht="15.75" customHeight="1">
      <c r="B27" s="3">
        <v>15344</v>
      </c>
      <c r="C27" s="3" t="s">
        <v>44</v>
      </c>
      <c r="D27" s="3" t="s">
        <v>46</v>
      </c>
      <c r="E27" s="3" t="str">
        <f>_xlfn.CONCAT(C27," ",D27)</f>
        <v>Anu Sharma</v>
      </c>
      <c r="F27" s="3" t="s">
        <v>73</v>
      </c>
    </row>
    <row r="28" spans="2:6" ht="15.75" customHeight="1">
      <c r="B28" s="3">
        <v>15345</v>
      </c>
      <c r="C28" s="3" t="s">
        <v>44</v>
      </c>
      <c r="D28" s="3" t="s">
        <v>33</v>
      </c>
      <c r="E28" s="3" t="str">
        <f t="shared" si="0"/>
        <v>Anu Nair</v>
      </c>
      <c r="F28" s="3" t="s">
        <v>74</v>
      </c>
    </row>
    <row r="29" spans="2:6" ht="15.75" customHeight="1">
      <c r="B29" s="3">
        <v>15346</v>
      </c>
      <c r="C29" s="3" t="s">
        <v>44</v>
      </c>
      <c r="D29" s="3" t="s">
        <v>75</v>
      </c>
      <c r="E29" s="3" t="str">
        <f t="shared" si="0"/>
        <v>Anu Reddy</v>
      </c>
      <c r="F29" s="3" t="s">
        <v>76</v>
      </c>
    </row>
    <row r="30" spans="2:6" ht="15.75" customHeight="1">
      <c r="B30" s="3">
        <v>15347</v>
      </c>
      <c r="C30" s="3" t="s">
        <v>19</v>
      </c>
      <c r="D30" s="3" t="s">
        <v>46</v>
      </c>
      <c r="E30" s="3" t="str">
        <f t="shared" si="0"/>
        <v>Arun Sharma</v>
      </c>
      <c r="F30" s="3" t="s">
        <v>77</v>
      </c>
    </row>
    <row r="31" spans="2:6" ht="15.75" customHeight="1">
      <c r="B31" s="3">
        <v>15348</v>
      </c>
      <c r="C31" s="3" t="s">
        <v>61</v>
      </c>
      <c r="D31" s="3" t="s">
        <v>46</v>
      </c>
      <c r="E31" s="3" t="str">
        <f t="shared" si="0"/>
        <v>Jack Sharma</v>
      </c>
      <c r="F31" s="3" t="s">
        <v>78</v>
      </c>
    </row>
    <row r="32" spans="2:6" ht="15.75" customHeight="1">
      <c r="B32" s="3">
        <v>15349</v>
      </c>
      <c r="C32" s="3" t="s">
        <v>19</v>
      </c>
      <c r="D32" s="3" t="s">
        <v>53</v>
      </c>
      <c r="E32" s="3" t="str">
        <f t="shared" si="0"/>
        <v>Arun Kumar</v>
      </c>
      <c r="F32" s="3" t="s">
        <v>79</v>
      </c>
    </row>
    <row r="33" spans="2:6" ht="15.75" customHeight="1">
      <c r="B33" s="3">
        <v>15350</v>
      </c>
      <c r="C33" s="3" t="s">
        <v>51</v>
      </c>
      <c r="D33" s="3" t="s">
        <v>53</v>
      </c>
      <c r="E33" s="3" t="str">
        <f t="shared" si="0"/>
        <v>Rahul Kumar</v>
      </c>
      <c r="F33" s="3" t="s">
        <v>80</v>
      </c>
    </row>
    <row r="34" spans="2:6" ht="15.75" customHeight="1">
      <c r="B34" s="3">
        <v>15351</v>
      </c>
      <c r="C34" s="3" t="s">
        <v>39</v>
      </c>
      <c r="D34" s="3" t="s">
        <v>33</v>
      </c>
      <c r="E34" s="3" t="str">
        <f t="shared" si="0"/>
        <v>Tom Nair</v>
      </c>
      <c r="F34" s="3" t="s">
        <v>81</v>
      </c>
    </row>
    <row r="35" spans="2:6" ht="15.75" customHeight="1">
      <c r="B35" s="3">
        <v>15352</v>
      </c>
      <c r="C35" s="3" t="s">
        <v>19</v>
      </c>
      <c r="D35" s="3" t="s">
        <v>20</v>
      </c>
      <c r="E35" s="3" t="str">
        <f t="shared" si="0"/>
        <v>Arun Singh</v>
      </c>
      <c r="F35" s="3" t="s">
        <v>82</v>
      </c>
    </row>
    <row r="36" spans="2:6" ht="15.75" customHeight="1">
      <c r="B36" s="3">
        <v>15353</v>
      </c>
      <c r="C36" s="3" t="s">
        <v>19</v>
      </c>
      <c r="D36" s="3" t="s">
        <v>83</v>
      </c>
      <c r="E36" s="3" t="str">
        <f t="shared" si="0"/>
        <v>Arun Das</v>
      </c>
      <c r="F36" s="3" t="s">
        <v>84</v>
      </c>
    </row>
    <row r="37" spans="2:6" ht="15.75" customHeight="1">
      <c r="B37" s="3">
        <v>15354</v>
      </c>
      <c r="C37" s="3" t="s">
        <v>55</v>
      </c>
      <c r="D37" s="3" t="s">
        <v>53</v>
      </c>
      <c r="E37" s="3" t="str">
        <f t="shared" si="0"/>
        <v>Amit Kumar</v>
      </c>
      <c r="F37" s="3" t="s">
        <v>85</v>
      </c>
    </row>
    <row r="38" spans="2:6" ht="15.75" customHeight="1">
      <c r="B38" s="3">
        <v>15355</v>
      </c>
      <c r="C38" s="3" t="s">
        <v>51</v>
      </c>
      <c r="D38" s="3" t="s">
        <v>53</v>
      </c>
      <c r="E38" s="3" t="str">
        <f t="shared" si="0"/>
        <v>Rahul Kumar</v>
      </c>
      <c r="F38" s="3" t="s">
        <v>86</v>
      </c>
    </row>
    <row r="39" spans="2:6" ht="15.75" customHeight="1">
      <c r="B39" s="3">
        <v>15356</v>
      </c>
      <c r="C39" s="3" t="s">
        <v>24</v>
      </c>
      <c r="D39" s="3" t="s">
        <v>75</v>
      </c>
      <c r="E39" s="3" t="str">
        <f t="shared" si="0"/>
        <v>Diya Reddy</v>
      </c>
      <c r="F39" s="3" t="s">
        <v>87</v>
      </c>
    </row>
    <row r="40" spans="2:6" ht="15.75" customHeight="1">
      <c r="B40" s="3">
        <v>15357</v>
      </c>
      <c r="C40" s="3" t="s">
        <v>44</v>
      </c>
      <c r="D40" s="3" t="s">
        <v>75</v>
      </c>
      <c r="E40" s="3" t="str">
        <f t="shared" si="0"/>
        <v>Anu Reddy</v>
      </c>
      <c r="F40" s="3" t="s">
        <v>88</v>
      </c>
    </row>
    <row r="41" spans="2:6" ht="15.75" customHeight="1">
      <c r="B41" s="3">
        <v>15358</v>
      </c>
      <c r="C41" s="3" t="s">
        <v>44</v>
      </c>
      <c r="D41" s="3" t="s">
        <v>89</v>
      </c>
      <c r="E41" s="3" t="str">
        <f t="shared" si="0"/>
        <v>Anu Kapoor</v>
      </c>
      <c r="F41" s="3" t="s">
        <v>90</v>
      </c>
    </row>
    <row r="42" spans="2:6" ht="15.75" customHeight="1">
      <c r="B42" s="3">
        <v>15359</v>
      </c>
      <c r="C42" s="3" t="s">
        <v>39</v>
      </c>
      <c r="D42" s="3" t="s">
        <v>53</v>
      </c>
      <c r="E42" s="3" t="str">
        <f t="shared" si="0"/>
        <v>Tom Kumar</v>
      </c>
      <c r="F42" s="3" t="s">
        <v>91</v>
      </c>
    </row>
    <row r="43" spans="2:6" ht="15.75" customHeight="1">
      <c r="B43" s="3">
        <v>15360</v>
      </c>
      <c r="C43" s="3" t="s">
        <v>44</v>
      </c>
      <c r="D43" s="3" t="s">
        <v>53</v>
      </c>
      <c r="E43" s="3" t="str">
        <f t="shared" si="0"/>
        <v>Anu Kumar</v>
      </c>
      <c r="F43" s="3" t="s">
        <v>92</v>
      </c>
    </row>
    <row r="44" spans="2:6" ht="15.75" customHeight="1">
      <c r="B44" s="3">
        <v>15361</v>
      </c>
      <c r="C44" s="3" t="s">
        <v>55</v>
      </c>
      <c r="D44" s="3" t="s">
        <v>83</v>
      </c>
      <c r="E44" s="3" t="str">
        <f t="shared" si="0"/>
        <v>Amit Das</v>
      </c>
      <c r="F44" s="3" t="s">
        <v>93</v>
      </c>
    </row>
    <row r="45" spans="2:6" ht="15.75" customHeight="1">
      <c r="B45" s="3">
        <v>15362</v>
      </c>
      <c r="C45" s="3" t="s">
        <v>19</v>
      </c>
      <c r="D45" s="3" t="s">
        <v>83</v>
      </c>
      <c r="E45" s="3" t="str">
        <f t="shared" si="0"/>
        <v>Arun Das</v>
      </c>
      <c r="F45" s="3" t="s">
        <v>94</v>
      </c>
    </row>
    <row r="46" spans="2:6" ht="15.75" customHeight="1">
      <c r="B46" s="3">
        <v>15363</v>
      </c>
      <c r="C46" s="3" t="s">
        <v>39</v>
      </c>
      <c r="D46" s="3" t="s">
        <v>83</v>
      </c>
      <c r="E46" s="3" t="str">
        <f t="shared" si="0"/>
        <v>Tom Das</v>
      </c>
      <c r="F46" s="3" t="s">
        <v>95</v>
      </c>
    </row>
    <row r="47" spans="2:6" ht="15.75" customHeight="1">
      <c r="B47" s="3">
        <v>15364</v>
      </c>
      <c r="C47" s="3" t="s">
        <v>24</v>
      </c>
      <c r="D47" s="3" t="s">
        <v>33</v>
      </c>
      <c r="E47" s="3" t="str">
        <f t="shared" si="0"/>
        <v>Diya Nair</v>
      </c>
      <c r="F47" s="3" t="s">
        <v>96</v>
      </c>
    </row>
    <row r="48" spans="2:6" ht="15.75" customHeight="1">
      <c r="B48" s="3">
        <v>15365</v>
      </c>
      <c r="C48" s="3" t="s">
        <v>61</v>
      </c>
      <c r="D48" s="3" t="s">
        <v>57</v>
      </c>
      <c r="E48" s="3" t="str">
        <f t="shared" si="0"/>
        <v>Jack Yadav</v>
      </c>
      <c r="F48" s="3" t="s">
        <v>97</v>
      </c>
    </row>
    <row r="49" spans="2:6" ht="15.75" customHeight="1">
      <c r="B49" s="3">
        <v>15366</v>
      </c>
      <c r="C49" s="3" t="s">
        <v>55</v>
      </c>
      <c r="D49" s="3" t="s">
        <v>20</v>
      </c>
      <c r="E49" s="3" t="str">
        <f t="shared" si="0"/>
        <v>Amit Singh</v>
      </c>
      <c r="F49" s="3" t="s">
        <v>98</v>
      </c>
    </row>
    <row r="50" spans="2:6" ht="15.75" customHeight="1">
      <c r="B50" s="3">
        <v>15367</v>
      </c>
      <c r="C50" s="3" t="s">
        <v>31</v>
      </c>
      <c r="D50" s="3" t="s">
        <v>75</v>
      </c>
      <c r="E50" s="3" t="str">
        <f t="shared" si="0"/>
        <v>Sneha Reddy</v>
      </c>
      <c r="F50" s="3" t="s">
        <v>99</v>
      </c>
    </row>
    <row r="51" spans="2:6" ht="15.75" customHeight="1">
      <c r="B51" s="3">
        <v>15368</v>
      </c>
      <c r="C51" s="3" t="s">
        <v>61</v>
      </c>
      <c r="D51" s="3" t="s">
        <v>75</v>
      </c>
      <c r="E51" s="3" t="str">
        <f t="shared" si="0"/>
        <v>Jack Reddy</v>
      </c>
      <c r="F51" s="3" t="s">
        <v>100</v>
      </c>
    </row>
    <row r="52" spans="2:6" ht="15.75" customHeight="1">
      <c r="B52" s="3">
        <v>15369</v>
      </c>
      <c r="C52" s="3" t="s">
        <v>31</v>
      </c>
      <c r="D52" s="3" t="s">
        <v>28</v>
      </c>
      <c r="E52" s="3" t="str">
        <f t="shared" si="0"/>
        <v>Sneha Menon</v>
      </c>
      <c r="F52" s="3" t="s">
        <v>101</v>
      </c>
    </row>
    <row r="53" spans="2:6" ht="15.75" customHeight="1">
      <c r="B53" s="3">
        <v>15370</v>
      </c>
      <c r="C53" s="3" t="s">
        <v>44</v>
      </c>
      <c r="D53" s="3" t="s">
        <v>89</v>
      </c>
      <c r="E53" s="3" t="str">
        <f t="shared" si="0"/>
        <v>Anu Kapoor</v>
      </c>
      <c r="F53" s="3" t="s">
        <v>102</v>
      </c>
    </row>
    <row r="54" spans="2:6" ht="15.75" customHeight="1">
      <c r="B54" s="3">
        <v>15371</v>
      </c>
      <c r="C54" s="3" t="s">
        <v>44</v>
      </c>
      <c r="D54" s="3" t="s">
        <v>83</v>
      </c>
      <c r="E54" s="3" t="str">
        <f t="shared" si="0"/>
        <v>Anu Das</v>
      </c>
      <c r="F54" s="3" t="s">
        <v>103</v>
      </c>
    </row>
    <row r="55" spans="2:6" ht="15.75" customHeight="1">
      <c r="B55" s="3">
        <v>15372</v>
      </c>
      <c r="C55" s="3" t="s">
        <v>61</v>
      </c>
      <c r="D55" s="3" t="s">
        <v>46</v>
      </c>
      <c r="E55" s="3" t="str">
        <f t="shared" si="0"/>
        <v>Jack Sharma</v>
      </c>
      <c r="F55" s="3" t="s">
        <v>104</v>
      </c>
    </row>
    <row r="56" spans="2:6" ht="15.75" customHeight="1">
      <c r="B56" s="3">
        <v>15373</v>
      </c>
      <c r="C56" s="3" t="s">
        <v>19</v>
      </c>
      <c r="D56" s="3" t="s">
        <v>83</v>
      </c>
      <c r="E56" s="3" t="str">
        <f t="shared" si="0"/>
        <v>Arun Das</v>
      </c>
      <c r="F56" s="3" t="s">
        <v>105</v>
      </c>
    </row>
    <row r="57" spans="2:6" ht="15.75" customHeight="1">
      <c r="B57" s="3">
        <v>15374</v>
      </c>
      <c r="C57" s="3" t="s">
        <v>39</v>
      </c>
      <c r="D57" s="3" t="s">
        <v>33</v>
      </c>
      <c r="E57" s="3" t="str">
        <f t="shared" si="0"/>
        <v>Tom Nair</v>
      </c>
      <c r="F57" s="3" t="s">
        <v>106</v>
      </c>
    </row>
    <row r="58" spans="2:6" ht="15.75" customHeight="1">
      <c r="B58" s="3">
        <v>15375</v>
      </c>
      <c r="C58" s="3" t="s">
        <v>26</v>
      </c>
      <c r="D58" s="3" t="s">
        <v>89</v>
      </c>
      <c r="E58" s="3" t="str">
        <f t="shared" si="0"/>
        <v>Kiran Kapoor</v>
      </c>
      <c r="F58" s="3" t="s">
        <v>107</v>
      </c>
    </row>
    <row r="59" spans="2:6" ht="15.75" customHeight="1">
      <c r="B59" s="3">
        <v>15376</v>
      </c>
      <c r="C59" s="3" t="s">
        <v>51</v>
      </c>
      <c r="D59" s="3" t="s">
        <v>83</v>
      </c>
      <c r="E59" s="3" t="str">
        <f t="shared" si="0"/>
        <v>Rahul Das</v>
      </c>
      <c r="F59" s="3" t="s">
        <v>108</v>
      </c>
    </row>
    <row r="60" spans="2:6" ht="15.75" customHeight="1">
      <c r="B60" s="3">
        <v>15377</v>
      </c>
      <c r="C60" s="3" t="s">
        <v>26</v>
      </c>
      <c r="D60" s="3" t="s">
        <v>57</v>
      </c>
      <c r="E60" s="3" t="str">
        <f t="shared" si="0"/>
        <v>Kiran Yadav</v>
      </c>
      <c r="F60" s="3" t="s">
        <v>109</v>
      </c>
    </row>
    <row r="61" spans="2:6" ht="15.75" customHeight="1">
      <c r="B61" s="3">
        <v>15378</v>
      </c>
      <c r="C61" s="3" t="s">
        <v>26</v>
      </c>
      <c r="D61" s="3" t="s">
        <v>89</v>
      </c>
      <c r="E61" s="3" t="str">
        <f t="shared" si="0"/>
        <v>Kiran Kapoor</v>
      </c>
      <c r="F61" s="3" t="s">
        <v>110</v>
      </c>
    </row>
    <row r="62" spans="2:6" ht="15.75" customHeight="1">
      <c r="B62" s="3">
        <v>15379</v>
      </c>
      <c r="C62" s="3" t="s">
        <v>24</v>
      </c>
      <c r="D62" s="3" t="s">
        <v>28</v>
      </c>
      <c r="E62" s="3" t="str">
        <f t="shared" si="0"/>
        <v>Diya Menon</v>
      </c>
      <c r="F62" s="3" t="s">
        <v>111</v>
      </c>
    </row>
    <row r="63" spans="2:6" ht="15.75" customHeight="1">
      <c r="B63" s="3">
        <v>15380</v>
      </c>
      <c r="C63" s="3" t="s">
        <v>67</v>
      </c>
      <c r="D63" s="3" t="s">
        <v>89</v>
      </c>
      <c r="E63" s="3" t="str">
        <f t="shared" si="0"/>
        <v>Neha Kapoor</v>
      </c>
      <c r="F63" s="3" t="s">
        <v>112</v>
      </c>
    </row>
    <row r="64" spans="2:6" ht="15.75" customHeight="1">
      <c r="B64" s="3">
        <v>15381</v>
      </c>
      <c r="C64" s="3" t="s">
        <v>61</v>
      </c>
      <c r="D64" s="3" t="s">
        <v>20</v>
      </c>
      <c r="E64" s="3" t="str">
        <f t="shared" si="0"/>
        <v>Jack Singh</v>
      </c>
      <c r="F64" s="3" t="s">
        <v>113</v>
      </c>
    </row>
    <row r="65" spans="2:6" ht="15.75" customHeight="1">
      <c r="B65" s="3">
        <v>15382</v>
      </c>
      <c r="C65" s="3" t="s">
        <v>61</v>
      </c>
      <c r="D65" s="3" t="s">
        <v>20</v>
      </c>
      <c r="E65" s="3" t="str">
        <f t="shared" si="0"/>
        <v>Jack Singh</v>
      </c>
      <c r="F65" s="3" t="s">
        <v>114</v>
      </c>
    </row>
    <row r="66" spans="2:6" ht="15.75" customHeight="1">
      <c r="B66" s="3">
        <v>15383</v>
      </c>
      <c r="C66" s="3" t="s">
        <v>67</v>
      </c>
      <c r="D66" s="3" t="s">
        <v>20</v>
      </c>
      <c r="E66" s="3" t="str">
        <f t="shared" si="0"/>
        <v>Neha Singh</v>
      </c>
      <c r="F66" s="3" t="s">
        <v>115</v>
      </c>
    </row>
    <row r="67" spans="2:6" ht="15.75" customHeight="1">
      <c r="B67" s="3">
        <v>15384</v>
      </c>
      <c r="C67" s="3" t="s">
        <v>51</v>
      </c>
      <c r="D67" s="3" t="s">
        <v>89</v>
      </c>
      <c r="E67" s="3" t="str">
        <f t="shared" si="0"/>
        <v>Rahul Kapoor</v>
      </c>
      <c r="F67" s="3" t="s">
        <v>116</v>
      </c>
    </row>
    <row r="68" spans="2:6" ht="15.75" customHeight="1">
      <c r="B68" s="3">
        <v>15385</v>
      </c>
      <c r="C68" s="3" t="s">
        <v>26</v>
      </c>
      <c r="D68" s="3" t="s">
        <v>49</v>
      </c>
      <c r="E68" s="3" t="str">
        <f t="shared" si="0"/>
        <v>Kiran Patel</v>
      </c>
      <c r="F68" s="3" t="s">
        <v>117</v>
      </c>
    </row>
    <row r="69" spans="2:6" ht="15.75" customHeight="1">
      <c r="B69" s="3">
        <v>15386</v>
      </c>
      <c r="C69" s="3" t="s">
        <v>24</v>
      </c>
      <c r="D69" s="3" t="s">
        <v>53</v>
      </c>
      <c r="E69" s="3" t="str">
        <f t="shared" ref="E69:E121" si="1">_xlfn.CONCAT(C69," ",D69)</f>
        <v>Diya Kumar</v>
      </c>
      <c r="F69" s="3" t="s">
        <v>118</v>
      </c>
    </row>
    <row r="70" spans="2:6" ht="15.75" customHeight="1">
      <c r="B70" s="3">
        <v>15387</v>
      </c>
      <c r="C70" s="3" t="s">
        <v>39</v>
      </c>
      <c r="D70" s="3" t="s">
        <v>33</v>
      </c>
      <c r="E70" s="3" t="str">
        <f t="shared" si="1"/>
        <v>Tom Nair</v>
      </c>
      <c r="F70" s="3" t="s">
        <v>119</v>
      </c>
    </row>
    <row r="71" spans="2:6" ht="15.75" customHeight="1">
      <c r="B71" s="3">
        <v>15388</v>
      </c>
      <c r="C71" s="3" t="s">
        <v>44</v>
      </c>
      <c r="D71" s="3" t="s">
        <v>28</v>
      </c>
      <c r="E71" s="3" t="str">
        <f t="shared" si="1"/>
        <v>Anu Menon</v>
      </c>
      <c r="F71" s="3" t="s">
        <v>120</v>
      </c>
    </row>
    <row r="72" spans="2:6" ht="15.75" customHeight="1">
      <c r="B72" s="3">
        <v>15389</v>
      </c>
      <c r="C72" s="3" t="s">
        <v>51</v>
      </c>
      <c r="D72" s="3" t="s">
        <v>53</v>
      </c>
      <c r="E72" s="3" t="str">
        <f t="shared" si="1"/>
        <v>Rahul Kumar</v>
      </c>
      <c r="F72" s="3" t="s">
        <v>121</v>
      </c>
    </row>
    <row r="73" spans="2:6" ht="15.75" customHeight="1">
      <c r="B73" s="3">
        <v>15390</v>
      </c>
      <c r="C73" s="3" t="s">
        <v>39</v>
      </c>
      <c r="D73" s="3" t="s">
        <v>46</v>
      </c>
      <c r="E73" s="3" t="str">
        <f t="shared" si="1"/>
        <v>Tom Sharma</v>
      </c>
      <c r="F73" s="3" t="s">
        <v>122</v>
      </c>
    </row>
    <row r="74" spans="2:6" ht="15.75" customHeight="1">
      <c r="B74" s="3">
        <v>15391</v>
      </c>
      <c r="C74" s="3" t="s">
        <v>39</v>
      </c>
      <c r="D74" s="3" t="s">
        <v>28</v>
      </c>
      <c r="E74" s="3" t="str">
        <f t="shared" si="1"/>
        <v>Tom Menon</v>
      </c>
      <c r="F74" s="3" t="s">
        <v>123</v>
      </c>
    </row>
    <row r="75" spans="2:6" ht="15.75" customHeight="1">
      <c r="B75" s="3">
        <v>15392</v>
      </c>
      <c r="C75" s="3" t="s">
        <v>55</v>
      </c>
      <c r="D75" s="3" t="s">
        <v>20</v>
      </c>
      <c r="E75" s="3" t="str">
        <f t="shared" si="1"/>
        <v>Amit Singh</v>
      </c>
      <c r="F75" s="3" t="s">
        <v>125</v>
      </c>
    </row>
    <row r="76" spans="2:6" ht="15.75" customHeight="1">
      <c r="B76" s="3">
        <v>15393</v>
      </c>
      <c r="C76" s="3" t="s">
        <v>26</v>
      </c>
      <c r="D76" s="3" t="s">
        <v>89</v>
      </c>
      <c r="E76" s="3" t="str">
        <f t="shared" si="1"/>
        <v>Kiran Kapoor</v>
      </c>
      <c r="F76" s="3" t="s">
        <v>127</v>
      </c>
    </row>
    <row r="77" spans="2:6" ht="15.75" customHeight="1">
      <c r="B77" s="3">
        <v>15394</v>
      </c>
      <c r="C77" s="3" t="s">
        <v>61</v>
      </c>
      <c r="D77" s="3" t="s">
        <v>49</v>
      </c>
      <c r="E77" s="3" t="str">
        <f t="shared" si="1"/>
        <v>Jack Patel</v>
      </c>
      <c r="F77" s="3" t="s">
        <v>129</v>
      </c>
    </row>
    <row r="78" spans="2:6" ht="15.75" customHeight="1">
      <c r="B78" s="3">
        <v>15395</v>
      </c>
      <c r="C78" s="3" t="s">
        <v>39</v>
      </c>
      <c r="D78" s="3" t="s">
        <v>83</v>
      </c>
      <c r="E78" s="3" t="str">
        <f t="shared" si="1"/>
        <v>Tom Das</v>
      </c>
      <c r="F78" s="3" t="s">
        <v>133</v>
      </c>
    </row>
    <row r="79" spans="2:6" ht="15.75" customHeight="1">
      <c r="B79" s="3">
        <v>15396</v>
      </c>
      <c r="C79" s="3" t="s">
        <v>61</v>
      </c>
      <c r="D79" s="3" t="s">
        <v>49</v>
      </c>
      <c r="E79" s="3" t="str">
        <f t="shared" si="1"/>
        <v>Jack Patel</v>
      </c>
      <c r="F79" s="3" t="s">
        <v>136</v>
      </c>
    </row>
    <row r="80" spans="2:6" ht="15.75" customHeight="1">
      <c r="B80" s="3">
        <v>15397</v>
      </c>
      <c r="C80" s="3" t="s">
        <v>44</v>
      </c>
      <c r="D80" s="3" t="s">
        <v>75</v>
      </c>
      <c r="E80" s="3" t="str">
        <f t="shared" si="1"/>
        <v>Anu Reddy</v>
      </c>
      <c r="F80" s="3" t="s">
        <v>141</v>
      </c>
    </row>
    <row r="81" spans="2:6" ht="15.75" customHeight="1">
      <c r="B81" s="3">
        <v>15398</v>
      </c>
      <c r="C81" s="3" t="s">
        <v>24</v>
      </c>
      <c r="D81" s="3" t="s">
        <v>49</v>
      </c>
      <c r="E81" s="3" t="str">
        <f t="shared" si="1"/>
        <v>Diya Patel</v>
      </c>
      <c r="F81" s="3" t="s">
        <v>145</v>
      </c>
    </row>
    <row r="82" spans="2:6" ht="15.75" customHeight="1">
      <c r="B82" s="3">
        <v>15399</v>
      </c>
      <c r="C82" s="3" t="s">
        <v>51</v>
      </c>
      <c r="D82" s="3" t="s">
        <v>33</v>
      </c>
      <c r="E82" s="3" t="str">
        <f t="shared" si="1"/>
        <v>Rahul Nair</v>
      </c>
      <c r="F82" s="3" t="s">
        <v>149</v>
      </c>
    </row>
    <row r="83" spans="2:6" ht="15.75" customHeight="1">
      <c r="B83" s="3">
        <v>15400</v>
      </c>
      <c r="C83" s="3" t="s">
        <v>39</v>
      </c>
      <c r="D83" s="3" t="s">
        <v>20</v>
      </c>
      <c r="E83" s="3" t="str">
        <f t="shared" si="1"/>
        <v>Tom Singh</v>
      </c>
      <c r="F83" s="3" t="s">
        <v>153</v>
      </c>
    </row>
    <row r="84" spans="2:6" ht="15.75" customHeight="1">
      <c r="B84" s="3">
        <v>15401</v>
      </c>
      <c r="C84" s="3" t="s">
        <v>61</v>
      </c>
      <c r="D84" s="3" t="s">
        <v>46</v>
      </c>
      <c r="E84" s="3" t="str">
        <f t="shared" si="1"/>
        <v>Jack Sharma</v>
      </c>
      <c r="F84" s="3" t="s">
        <v>154</v>
      </c>
    </row>
    <row r="85" spans="2:6" ht="15.75" customHeight="1">
      <c r="B85" s="3">
        <v>15402</v>
      </c>
      <c r="C85" s="3" t="s">
        <v>51</v>
      </c>
      <c r="D85" s="3" t="s">
        <v>28</v>
      </c>
      <c r="E85" s="3" t="str">
        <f t="shared" si="1"/>
        <v>Rahul Menon</v>
      </c>
      <c r="F85" s="3" t="s">
        <v>155</v>
      </c>
    </row>
    <row r="86" spans="2:6" ht="15.75" customHeight="1">
      <c r="B86" s="3">
        <v>15403</v>
      </c>
      <c r="C86" s="3" t="s">
        <v>31</v>
      </c>
      <c r="D86" s="3" t="s">
        <v>89</v>
      </c>
      <c r="E86" s="3" t="str">
        <f t="shared" si="1"/>
        <v>Sneha Kapoor</v>
      </c>
      <c r="F86" s="3" t="s">
        <v>156</v>
      </c>
    </row>
    <row r="87" spans="2:6" ht="15.75" customHeight="1">
      <c r="B87" s="3">
        <v>15404</v>
      </c>
      <c r="C87" s="3" t="s">
        <v>55</v>
      </c>
      <c r="D87" s="3" t="s">
        <v>49</v>
      </c>
      <c r="E87" s="3" t="str">
        <f t="shared" si="1"/>
        <v>Amit Patel</v>
      </c>
      <c r="F87" s="3" t="s">
        <v>157</v>
      </c>
    </row>
    <row r="88" spans="2:6" ht="15.75" customHeight="1">
      <c r="B88" s="3">
        <v>15405</v>
      </c>
      <c r="C88" s="3" t="s">
        <v>55</v>
      </c>
      <c r="D88" s="3" t="s">
        <v>83</v>
      </c>
      <c r="E88" s="3" t="str">
        <f t="shared" si="1"/>
        <v>Amit Das</v>
      </c>
      <c r="F88" s="3" t="s">
        <v>158</v>
      </c>
    </row>
    <row r="89" spans="2:6" ht="15.75" customHeight="1">
      <c r="B89" s="3">
        <v>15406</v>
      </c>
      <c r="C89" s="3" t="s">
        <v>61</v>
      </c>
      <c r="D89" s="3" t="s">
        <v>83</v>
      </c>
      <c r="E89" s="3" t="str">
        <f t="shared" si="1"/>
        <v>Jack Das</v>
      </c>
      <c r="F89" s="3" t="s">
        <v>159</v>
      </c>
    </row>
    <row r="90" spans="2:6" ht="15.75" customHeight="1">
      <c r="B90" s="3">
        <v>15407</v>
      </c>
      <c r="C90" s="3" t="s">
        <v>61</v>
      </c>
      <c r="D90" s="3" t="s">
        <v>33</v>
      </c>
      <c r="E90" s="3" t="str">
        <f t="shared" si="1"/>
        <v>Jack Nair</v>
      </c>
      <c r="F90" s="3" t="s">
        <v>160</v>
      </c>
    </row>
    <row r="91" spans="2:6" ht="15.75" customHeight="1">
      <c r="B91" s="3">
        <v>15408</v>
      </c>
      <c r="C91" s="3" t="s">
        <v>61</v>
      </c>
      <c r="D91" s="3" t="s">
        <v>53</v>
      </c>
      <c r="E91" s="3" t="str">
        <f t="shared" si="1"/>
        <v>Jack Kumar</v>
      </c>
      <c r="F91" s="3" t="s">
        <v>161</v>
      </c>
    </row>
    <row r="92" spans="2:6" ht="15.75" customHeight="1">
      <c r="B92" s="3">
        <v>15409</v>
      </c>
      <c r="C92" s="3" t="s">
        <v>19</v>
      </c>
      <c r="D92" s="3" t="s">
        <v>33</v>
      </c>
      <c r="E92" s="3" t="str">
        <f t="shared" si="1"/>
        <v>Arun Nair</v>
      </c>
      <c r="F92" s="3" t="s">
        <v>162</v>
      </c>
    </row>
    <row r="93" spans="2:6" ht="15.75" customHeight="1">
      <c r="B93" s="3">
        <v>15410</v>
      </c>
      <c r="C93" s="3" t="s">
        <v>24</v>
      </c>
      <c r="D93" s="3" t="s">
        <v>33</v>
      </c>
      <c r="E93" s="3" t="str">
        <f t="shared" si="1"/>
        <v>Diya Nair</v>
      </c>
      <c r="F93" s="3" t="s">
        <v>163</v>
      </c>
    </row>
    <row r="94" spans="2:6" ht="15.75" customHeight="1">
      <c r="B94" s="3">
        <v>15411</v>
      </c>
      <c r="C94" s="3" t="s">
        <v>31</v>
      </c>
      <c r="D94" s="3" t="s">
        <v>46</v>
      </c>
      <c r="E94" s="3" t="str">
        <f t="shared" si="1"/>
        <v>Sneha Sharma</v>
      </c>
      <c r="F94" s="3" t="s">
        <v>164</v>
      </c>
    </row>
    <row r="95" spans="2:6" ht="15.75" customHeight="1">
      <c r="B95" s="3">
        <v>15412</v>
      </c>
      <c r="C95" s="3" t="s">
        <v>19</v>
      </c>
      <c r="D95" s="3" t="s">
        <v>53</v>
      </c>
      <c r="E95" s="3" t="str">
        <f t="shared" si="1"/>
        <v>Arun Kumar</v>
      </c>
      <c r="F95" s="3" t="s">
        <v>165</v>
      </c>
    </row>
    <row r="96" spans="2:6" ht="15.75" customHeight="1">
      <c r="B96" s="3">
        <v>15413</v>
      </c>
      <c r="C96" s="3" t="s">
        <v>55</v>
      </c>
      <c r="D96" s="3" t="s">
        <v>28</v>
      </c>
      <c r="E96" s="3" t="str">
        <f t="shared" si="1"/>
        <v>Amit Menon</v>
      </c>
      <c r="F96" s="3" t="s">
        <v>166</v>
      </c>
    </row>
    <row r="97" spans="2:6" ht="15.75" customHeight="1">
      <c r="B97" s="3">
        <v>15414</v>
      </c>
      <c r="C97" s="3" t="s">
        <v>51</v>
      </c>
      <c r="D97" s="3" t="s">
        <v>53</v>
      </c>
      <c r="E97" s="3" t="str">
        <f t="shared" si="1"/>
        <v>Rahul Kumar</v>
      </c>
      <c r="F97" s="3" t="s">
        <v>167</v>
      </c>
    </row>
    <row r="98" spans="2:6" ht="15.75" customHeight="1">
      <c r="B98" s="3">
        <v>15415</v>
      </c>
      <c r="C98" s="3" t="s">
        <v>61</v>
      </c>
      <c r="D98" s="3" t="s">
        <v>57</v>
      </c>
      <c r="E98" s="3" t="str">
        <f t="shared" si="1"/>
        <v>Jack Yadav</v>
      </c>
      <c r="F98" s="3" t="s">
        <v>168</v>
      </c>
    </row>
    <row r="99" spans="2:6" ht="15.75" customHeight="1">
      <c r="B99" s="3">
        <v>15416</v>
      </c>
      <c r="C99" s="3" t="s">
        <v>67</v>
      </c>
      <c r="D99" s="3" t="s">
        <v>46</v>
      </c>
      <c r="E99" s="3" t="str">
        <f t="shared" si="1"/>
        <v>Neha Sharma</v>
      </c>
      <c r="F99" s="3" t="s">
        <v>169</v>
      </c>
    </row>
    <row r="100" spans="2:6" ht="15.75" customHeight="1">
      <c r="B100" s="3">
        <v>15417</v>
      </c>
      <c r="C100" s="3" t="s">
        <v>61</v>
      </c>
      <c r="D100" s="3" t="s">
        <v>46</v>
      </c>
      <c r="E100" s="3" t="str">
        <f t="shared" si="1"/>
        <v>Jack Sharma</v>
      </c>
      <c r="F100" s="3" t="s">
        <v>170</v>
      </c>
    </row>
    <row r="101" spans="2:6" ht="15.75" customHeight="1">
      <c r="B101" s="3">
        <v>15418</v>
      </c>
      <c r="C101" s="3" t="s">
        <v>39</v>
      </c>
      <c r="D101" s="3" t="s">
        <v>20</v>
      </c>
      <c r="E101" s="3" t="str">
        <f t="shared" si="1"/>
        <v>Tom Singh</v>
      </c>
      <c r="F101" s="3" t="s">
        <v>171</v>
      </c>
    </row>
    <row r="102" spans="2:6" ht="15.75" customHeight="1">
      <c r="B102" s="3">
        <v>15419</v>
      </c>
      <c r="C102" s="3" t="s">
        <v>51</v>
      </c>
      <c r="D102" s="3" t="s">
        <v>33</v>
      </c>
      <c r="E102" s="3" t="str">
        <f t="shared" si="1"/>
        <v>Rahul Nair</v>
      </c>
      <c r="F102" s="3" t="s">
        <v>172</v>
      </c>
    </row>
    <row r="103" spans="2:6" ht="15.75" customHeight="1">
      <c r="B103" s="3">
        <v>15420</v>
      </c>
      <c r="C103" s="3" t="s">
        <v>26</v>
      </c>
      <c r="D103" s="3" t="s">
        <v>20</v>
      </c>
      <c r="E103" s="3" t="str">
        <f t="shared" si="1"/>
        <v>Kiran Singh</v>
      </c>
      <c r="F103" s="3" t="s">
        <v>173</v>
      </c>
    </row>
    <row r="104" spans="2:6" ht="15.75" customHeight="1">
      <c r="B104" s="3">
        <v>15421</v>
      </c>
      <c r="C104" s="3" t="s">
        <v>51</v>
      </c>
      <c r="D104" s="3" t="s">
        <v>20</v>
      </c>
      <c r="E104" s="3" t="str">
        <f t="shared" si="1"/>
        <v>Rahul Singh</v>
      </c>
      <c r="F104" s="3" t="s">
        <v>174</v>
      </c>
    </row>
    <row r="105" spans="2:6" ht="15.75" customHeight="1">
      <c r="B105" s="3">
        <v>15422</v>
      </c>
      <c r="C105" s="3" t="s">
        <v>61</v>
      </c>
      <c r="D105" s="3" t="s">
        <v>75</v>
      </c>
      <c r="E105" s="3" t="str">
        <f t="shared" si="1"/>
        <v>Jack Reddy</v>
      </c>
      <c r="F105" s="3" t="s">
        <v>175</v>
      </c>
    </row>
    <row r="106" spans="2:6" ht="15.75" customHeight="1">
      <c r="B106" s="3">
        <v>15423</v>
      </c>
      <c r="C106" s="3" t="s">
        <v>19</v>
      </c>
      <c r="D106" s="3" t="s">
        <v>75</v>
      </c>
      <c r="E106" s="3" t="str">
        <f t="shared" si="1"/>
        <v>Arun Reddy</v>
      </c>
      <c r="F106" s="3" t="s">
        <v>177</v>
      </c>
    </row>
    <row r="107" spans="2:6" ht="15.75" customHeight="1">
      <c r="B107" s="3">
        <v>15424</v>
      </c>
      <c r="C107" s="3" t="s">
        <v>31</v>
      </c>
      <c r="D107" s="3" t="s">
        <v>57</v>
      </c>
      <c r="E107" s="3" t="str">
        <f t="shared" si="1"/>
        <v>Sneha Yadav</v>
      </c>
      <c r="F107" s="3" t="s">
        <v>178</v>
      </c>
    </row>
    <row r="108" spans="2:6" ht="15.75" customHeight="1">
      <c r="B108" s="3">
        <v>15425</v>
      </c>
      <c r="C108" s="3" t="s">
        <v>19</v>
      </c>
      <c r="D108" s="3" t="s">
        <v>83</v>
      </c>
      <c r="E108" s="3" t="str">
        <f t="shared" si="1"/>
        <v>Arun Das</v>
      </c>
      <c r="F108" s="3" t="s">
        <v>179</v>
      </c>
    </row>
    <row r="109" spans="2:6" ht="15.75" customHeight="1">
      <c r="B109" s="3">
        <v>15426</v>
      </c>
      <c r="C109" s="3" t="s">
        <v>67</v>
      </c>
      <c r="D109" s="3" t="s">
        <v>46</v>
      </c>
      <c r="E109" s="3" t="str">
        <f t="shared" si="1"/>
        <v>Neha Sharma</v>
      </c>
      <c r="F109" s="3" t="s">
        <v>181</v>
      </c>
    </row>
    <row r="110" spans="2:6" ht="15.75" customHeight="1">
      <c r="B110" s="3">
        <v>15427</v>
      </c>
      <c r="C110" s="3" t="s">
        <v>67</v>
      </c>
      <c r="D110" s="3" t="s">
        <v>75</v>
      </c>
      <c r="E110" s="3" t="str">
        <f t="shared" si="1"/>
        <v>Neha Reddy</v>
      </c>
      <c r="F110" s="3" t="s">
        <v>182</v>
      </c>
    </row>
    <row r="111" spans="2:6" ht="15.75" customHeight="1">
      <c r="B111" s="3">
        <v>15428</v>
      </c>
      <c r="C111" s="3" t="s">
        <v>55</v>
      </c>
      <c r="D111" s="3" t="s">
        <v>28</v>
      </c>
      <c r="E111" s="3" t="str">
        <f t="shared" si="1"/>
        <v>Amit Menon</v>
      </c>
      <c r="F111" s="3" t="s">
        <v>187</v>
      </c>
    </row>
    <row r="112" spans="2:6" ht="15.75" customHeight="1">
      <c r="B112" s="3">
        <v>15429</v>
      </c>
      <c r="C112" s="3" t="s">
        <v>31</v>
      </c>
      <c r="D112" s="3" t="s">
        <v>20</v>
      </c>
      <c r="E112" s="3" t="str">
        <f t="shared" si="1"/>
        <v>Sneha Singh</v>
      </c>
      <c r="F112" s="3" t="s">
        <v>191</v>
      </c>
    </row>
    <row r="113" spans="2:6" ht="15.75" customHeight="1">
      <c r="B113" s="3">
        <v>15430</v>
      </c>
      <c r="C113" s="3" t="s">
        <v>44</v>
      </c>
      <c r="D113" s="3" t="s">
        <v>89</v>
      </c>
      <c r="E113" s="3" t="str">
        <f t="shared" si="1"/>
        <v>Anu Kapoor</v>
      </c>
      <c r="F113" s="3" t="s">
        <v>193</v>
      </c>
    </row>
    <row r="114" spans="2:6" ht="15.75" customHeight="1">
      <c r="B114" s="3">
        <v>15431</v>
      </c>
      <c r="C114" s="3" t="s">
        <v>24</v>
      </c>
      <c r="D114" s="3" t="s">
        <v>89</v>
      </c>
      <c r="E114" s="3" t="str">
        <f t="shared" si="1"/>
        <v>Diya Kapoor</v>
      </c>
      <c r="F114" s="3" t="s">
        <v>195</v>
      </c>
    </row>
    <row r="115" spans="2:6" ht="15.75" customHeight="1">
      <c r="B115" s="3">
        <v>15432</v>
      </c>
      <c r="C115" s="3" t="s">
        <v>44</v>
      </c>
      <c r="D115" s="3" t="s">
        <v>20</v>
      </c>
      <c r="E115" s="3" t="str">
        <f t="shared" si="1"/>
        <v>Anu Singh</v>
      </c>
      <c r="F115" s="3" t="s">
        <v>197</v>
      </c>
    </row>
    <row r="116" spans="2:6" ht="15.75" customHeight="1">
      <c r="B116" s="3">
        <v>15433</v>
      </c>
      <c r="C116" s="3" t="s">
        <v>67</v>
      </c>
      <c r="D116" s="3" t="s">
        <v>28</v>
      </c>
      <c r="E116" s="3" t="str">
        <f t="shared" si="1"/>
        <v>Neha Menon</v>
      </c>
      <c r="F116" s="3" t="s">
        <v>201</v>
      </c>
    </row>
    <row r="117" spans="2:6" ht="15.75" customHeight="1">
      <c r="B117" s="3">
        <v>15434</v>
      </c>
      <c r="C117" s="3" t="s">
        <v>51</v>
      </c>
      <c r="D117" s="3" t="s">
        <v>33</v>
      </c>
      <c r="E117" s="3" t="str">
        <f t="shared" si="1"/>
        <v>Rahul Nair</v>
      </c>
      <c r="F117" s="3" t="s">
        <v>205</v>
      </c>
    </row>
    <row r="118" spans="2:6" ht="15.75" customHeight="1">
      <c r="B118" s="3">
        <v>15435</v>
      </c>
      <c r="C118" s="3" t="s">
        <v>24</v>
      </c>
      <c r="D118" s="3" t="s">
        <v>89</v>
      </c>
      <c r="E118" s="3" t="str">
        <f t="shared" si="1"/>
        <v>Diya Kapoor</v>
      </c>
      <c r="F118" s="3" t="s">
        <v>210</v>
      </c>
    </row>
    <row r="119" spans="2:6" ht="15.75" customHeight="1">
      <c r="B119" s="3">
        <v>15436</v>
      </c>
      <c r="C119" s="3" t="s">
        <v>61</v>
      </c>
      <c r="D119" s="3" t="s">
        <v>28</v>
      </c>
      <c r="E119" s="3" t="str">
        <f t="shared" si="1"/>
        <v>Jack Menon</v>
      </c>
      <c r="F119" s="3" t="s">
        <v>213</v>
      </c>
    </row>
    <row r="120" spans="2:6" ht="15.75" customHeight="1">
      <c r="B120" s="3">
        <v>15437</v>
      </c>
      <c r="C120" s="3" t="s">
        <v>26</v>
      </c>
      <c r="D120" s="3" t="s">
        <v>49</v>
      </c>
      <c r="E120" s="3" t="str">
        <f t="shared" si="1"/>
        <v>Kiran Patel</v>
      </c>
      <c r="F120" s="3" t="s">
        <v>216</v>
      </c>
    </row>
    <row r="121" spans="2:6" ht="15.75" customHeight="1">
      <c r="B121" s="3">
        <v>15438</v>
      </c>
      <c r="C121" s="3" t="s">
        <v>44</v>
      </c>
      <c r="D121" s="3" t="s">
        <v>20</v>
      </c>
      <c r="E121" s="3" t="str">
        <f t="shared" si="1"/>
        <v>Anu Singh</v>
      </c>
      <c r="F121" s="3" t="s">
        <v>218</v>
      </c>
    </row>
    <row r="122" spans="2:6" ht="15.75" customHeight="1">
      <c r="B122" s="3">
        <v>15439</v>
      </c>
      <c r="C122" s="3" t="s">
        <v>26</v>
      </c>
      <c r="D122" s="3" t="s">
        <v>75</v>
      </c>
      <c r="E122" s="3"/>
      <c r="F122" s="3" t="s">
        <v>221</v>
      </c>
    </row>
    <row r="123" spans="2:6" ht="15.75" customHeight="1">
      <c r="B123" s="3">
        <v>15440</v>
      </c>
      <c r="C123" s="3" t="s">
        <v>24</v>
      </c>
      <c r="D123" s="3" t="s">
        <v>20</v>
      </c>
      <c r="E123" s="3"/>
      <c r="F123" s="3" t="s">
        <v>223</v>
      </c>
    </row>
    <row r="124" spans="2:6" ht="15.75" customHeight="1">
      <c r="B124" s="3">
        <v>15441</v>
      </c>
      <c r="C124" s="3" t="s">
        <v>26</v>
      </c>
      <c r="D124" s="3" t="s">
        <v>20</v>
      </c>
      <c r="E124" s="3"/>
      <c r="F124" s="3" t="s">
        <v>226</v>
      </c>
    </row>
    <row r="125" spans="2:6" ht="15.75" customHeight="1">
      <c r="B125" s="3">
        <v>15442</v>
      </c>
      <c r="C125" s="3" t="s">
        <v>55</v>
      </c>
      <c r="D125" s="3" t="s">
        <v>33</v>
      </c>
      <c r="E125" s="3"/>
      <c r="F125" s="3" t="s">
        <v>227</v>
      </c>
    </row>
    <row r="126" spans="2:6" ht="15.75" customHeight="1">
      <c r="B126" s="3">
        <v>15443</v>
      </c>
      <c r="C126" s="3" t="s">
        <v>24</v>
      </c>
      <c r="D126" s="3" t="s">
        <v>75</v>
      </c>
      <c r="E126" s="3"/>
      <c r="F126" s="3" t="s">
        <v>230</v>
      </c>
    </row>
    <row r="127" spans="2:6" ht="15.75" customHeight="1">
      <c r="B127" s="3">
        <v>15444</v>
      </c>
      <c r="C127" s="3" t="s">
        <v>19</v>
      </c>
      <c r="D127" s="3" t="s">
        <v>28</v>
      </c>
      <c r="E127" s="3"/>
      <c r="F127" s="3" t="s">
        <v>232</v>
      </c>
    </row>
    <row r="128" spans="2:6" ht="15.75" customHeight="1">
      <c r="B128" s="3">
        <v>15445</v>
      </c>
      <c r="C128" s="3" t="s">
        <v>26</v>
      </c>
      <c r="D128" s="3" t="s">
        <v>75</v>
      </c>
      <c r="E128" s="3"/>
      <c r="F128" s="3" t="s">
        <v>234</v>
      </c>
    </row>
    <row r="129" spans="2:6" ht="15.75" customHeight="1">
      <c r="B129" s="3">
        <v>15446</v>
      </c>
      <c r="C129" s="3" t="s">
        <v>26</v>
      </c>
      <c r="D129" s="3" t="s">
        <v>83</v>
      </c>
      <c r="E129" s="3"/>
      <c r="F129" s="3" t="s">
        <v>237</v>
      </c>
    </row>
    <row r="130" spans="2:6" ht="15.75" customHeight="1">
      <c r="B130" s="3">
        <v>15447</v>
      </c>
      <c r="C130" s="3" t="s">
        <v>24</v>
      </c>
      <c r="D130" s="3" t="s">
        <v>57</v>
      </c>
      <c r="E130" s="3"/>
      <c r="F130" s="3" t="s">
        <v>239</v>
      </c>
    </row>
    <row r="131" spans="2:6" ht="15.75" customHeight="1">
      <c r="B131" s="3">
        <v>15448</v>
      </c>
      <c r="C131" s="3" t="s">
        <v>51</v>
      </c>
      <c r="D131" s="3" t="s">
        <v>89</v>
      </c>
      <c r="E131" s="3"/>
      <c r="F131" s="3" t="s">
        <v>241</v>
      </c>
    </row>
    <row r="132" spans="2:6" ht="15.75" customHeight="1">
      <c r="B132" s="3">
        <v>15449</v>
      </c>
      <c r="C132" s="3" t="s">
        <v>24</v>
      </c>
      <c r="D132" s="3" t="s">
        <v>57</v>
      </c>
      <c r="E132" s="3"/>
      <c r="F132" s="3" t="s">
        <v>244</v>
      </c>
    </row>
    <row r="133" spans="2:6" ht="15.75" customHeight="1">
      <c r="B133" s="3">
        <v>15450</v>
      </c>
      <c r="C133" s="3" t="s">
        <v>19</v>
      </c>
      <c r="D133" s="3" t="s">
        <v>89</v>
      </c>
      <c r="E133" s="3"/>
      <c r="F133" s="3" t="s">
        <v>245</v>
      </c>
    </row>
    <row r="134" spans="2:6" ht="15.75" customHeight="1">
      <c r="B134" s="3">
        <v>15451</v>
      </c>
      <c r="C134" s="3" t="s">
        <v>39</v>
      </c>
      <c r="D134" s="3" t="s">
        <v>33</v>
      </c>
      <c r="E134" s="3"/>
      <c r="F134" s="3" t="s">
        <v>248</v>
      </c>
    </row>
    <row r="135" spans="2:6" ht="15.75" customHeight="1">
      <c r="B135" s="3">
        <v>15452</v>
      </c>
      <c r="C135" s="3" t="s">
        <v>44</v>
      </c>
      <c r="D135" s="3" t="s">
        <v>53</v>
      </c>
      <c r="E135" s="3"/>
      <c r="F135" s="3" t="s">
        <v>249</v>
      </c>
    </row>
    <row r="136" spans="2:6" ht="15.75" customHeight="1">
      <c r="B136" s="3">
        <v>15453</v>
      </c>
      <c r="C136" s="3" t="s">
        <v>26</v>
      </c>
      <c r="D136" s="3" t="s">
        <v>46</v>
      </c>
      <c r="E136" s="3"/>
      <c r="F136" s="3" t="s">
        <v>250</v>
      </c>
    </row>
    <row r="137" spans="2:6" ht="15.75" customHeight="1">
      <c r="B137" s="3">
        <v>15454</v>
      </c>
      <c r="C137" s="3" t="s">
        <v>31</v>
      </c>
      <c r="D137" s="3" t="s">
        <v>83</v>
      </c>
      <c r="E137" s="3"/>
      <c r="F137" s="3" t="s">
        <v>251</v>
      </c>
    </row>
    <row r="138" spans="2:6" ht="15.75" customHeight="1">
      <c r="B138" s="3">
        <v>15455</v>
      </c>
      <c r="C138" s="3" t="s">
        <v>67</v>
      </c>
      <c r="D138" s="3" t="s">
        <v>75</v>
      </c>
      <c r="E138" s="3"/>
      <c r="F138" s="3" t="s">
        <v>252</v>
      </c>
    </row>
    <row r="139" spans="2:6" ht="15.75" customHeight="1">
      <c r="B139" s="3">
        <v>15456</v>
      </c>
      <c r="C139" s="3" t="s">
        <v>19</v>
      </c>
      <c r="D139" s="3" t="s">
        <v>89</v>
      </c>
      <c r="E139" s="3"/>
      <c r="F139" s="3" t="s">
        <v>253</v>
      </c>
    </row>
    <row r="140" spans="2:6" ht="15.75" customHeight="1">
      <c r="B140" s="3">
        <v>15457</v>
      </c>
      <c r="C140" s="3" t="s">
        <v>67</v>
      </c>
      <c r="D140" s="3" t="s">
        <v>53</v>
      </c>
      <c r="E140" s="3"/>
      <c r="F140" s="3" t="s">
        <v>254</v>
      </c>
    </row>
    <row r="141" spans="2:6" ht="15.75" customHeight="1">
      <c r="B141" s="3">
        <v>15458</v>
      </c>
      <c r="C141" s="3" t="s">
        <v>67</v>
      </c>
      <c r="D141" s="3" t="s">
        <v>89</v>
      </c>
      <c r="E141" s="3"/>
      <c r="F141" s="3" t="s">
        <v>255</v>
      </c>
    </row>
    <row r="142" spans="2:6" ht="15.75" customHeight="1">
      <c r="B142" s="3">
        <v>15459</v>
      </c>
      <c r="C142" s="3" t="s">
        <v>24</v>
      </c>
      <c r="D142" s="3" t="s">
        <v>20</v>
      </c>
      <c r="E142" s="3"/>
      <c r="F142" s="3" t="s">
        <v>256</v>
      </c>
    </row>
    <row r="143" spans="2:6" ht="15.75" customHeight="1">
      <c r="B143" s="3">
        <v>15460</v>
      </c>
      <c r="C143" s="3" t="s">
        <v>51</v>
      </c>
      <c r="D143" s="3" t="s">
        <v>33</v>
      </c>
      <c r="E143" s="3"/>
      <c r="F143" s="3" t="s">
        <v>257</v>
      </c>
    </row>
    <row r="144" spans="2:6" ht="15.75" customHeight="1">
      <c r="B144" s="3">
        <v>15461</v>
      </c>
      <c r="C144" s="3" t="s">
        <v>24</v>
      </c>
      <c r="D144" s="3" t="s">
        <v>20</v>
      </c>
      <c r="E144" s="3"/>
      <c r="F144" s="3" t="s">
        <v>258</v>
      </c>
    </row>
    <row r="145" spans="2:6" ht="15.75" customHeight="1">
      <c r="B145" s="3">
        <v>15462</v>
      </c>
      <c r="C145" s="3" t="s">
        <v>44</v>
      </c>
      <c r="D145" s="3" t="s">
        <v>75</v>
      </c>
      <c r="E145" s="3"/>
      <c r="F145" s="3" t="s">
        <v>259</v>
      </c>
    </row>
    <row r="146" spans="2:6" ht="15.75" customHeight="1">
      <c r="B146" s="3">
        <v>15463</v>
      </c>
      <c r="C146" s="3" t="s">
        <v>31</v>
      </c>
      <c r="D146" s="3" t="s">
        <v>53</v>
      </c>
      <c r="E146" s="3"/>
      <c r="F146" s="3" t="s">
        <v>260</v>
      </c>
    </row>
    <row r="147" spans="2:6" ht="15.75" customHeight="1">
      <c r="B147" s="3">
        <v>15464</v>
      </c>
      <c r="C147" s="3" t="s">
        <v>39</v>
      </c>
      <c r="D147" s="3" t="s">
        <v>20</v>
      </c>
      <c r="E147" s="3"/>
      <c r="F147" s="3" t="s">
        <v>261</v>
      </c>
    </row>
    <row r="148" spans="2:6" ht="15.75" customHeight="1">
      <c r="B148" s="3">
        <v>15465</v>
      </c>
      <c r="C148" s="3" t="s">
        <v>19</v>
      </c>
      <c r="D148" s="3" t="s">
        <v>57</v>
      </c>
      <c r="E148" s="3"/>
      <c r="F148" s="3" t="s">
        <v>262</v>
      </c>
    </row>
    <row r="149" spans="2:6" ht="15.75" customHeight="1">
      <c r="B149" s="3">
        <v>15466</v>
      </c>
      <c r="C149" s="3" t="s">
        <v>31</v>
      </c>
      <c r="D149" s="3" t="s">
        <v>75</v>
      </c>
      <c r="E149" s="3"/>
      <c r="F149" s="3" t="s">
        <v>263</v>
      </c>
    </row>
    <row r="150" spans="2:6" ht="15.75" customHeight="1">
      <c r="B150" s="3">
        <v>15467</v>
      </c>
      <c r="C150" s="3" t="s">
        <v>44</v>
      </c>
      <c r="D150" s="3" t="s">
        <v>49</v>
      </c>
      <c r="E150" s="3"/>
      <c r="F150" s="3" t="s">
        <v>264</v>
      </c>
    </row>
    <row r="151" spans="2:6" ht="15.75" customHeight="1">
      <c r="B151" s="3">
        <v>15468</v>
      </c>
      <c r="C151" s="3" t="s">
        <v>39</v>
      </c>
      <c r="D151" s="3" t="s">
        <v>57</v>
      </c>
      <c r="E151" s="3"/>
      <c r="F151" s="3" t="s">
        <v>265</v>
      </c>
    </row>
    <row r="152" spans="2:6" ht="15.75" customHeight="1">
      <c r="B152" s="3">
        <v>15469</v>
      </c>
      <c r="C152" s="3" t="s">
        <v>26</v>
      </c>
      <c r="D152" s="3" t="s">
        <v>46</v>
      </c>
      <c r="E152" s="3"/>
      <c r="F152" s="3" t="s">
        <v>266</v>
      </c>
    </row>
    <row r="153" spans="2:6" ht="15.75" customHeight="1">
      <c r="B153" s="3">
        <v>15470</v>
      </c>
      <c r="C153" s="3" t="s">
        <v>31</v>
      </c>
      <c r="D153" s="3" t="s">
        <v>49</v>
      </c>
      <c r="E153" s="3"/>
      <c r="F153" s="3" t="s">
        <v>267</v>
      </c>
    </row>
    <row r="154" spans="2:6" ht="15.75" customHeight="1">
      <c r="B154" s="3">
        <v>15471</v>
      </c>
      <c r="C154" s="3" t="s">
        <v>55</v>
      </c>
      <c r="D154" s="3" t="s">
        <v>46</v>
      </c>
      <c r="E154" s="3"/>
      <c r="F154" s="3" t="s">
        <v>268</v>
      </c>
    </row>
    <row r="155" spans="2:6" ht="15.75" customHeight="1">
      <c r="B155" s="3">
        <v>15472</v>
      </c>
      <c r="C155" s="3" t="s">
        <v>24</v>
      </c>
      <c r="D155" s="3" t="s">
        <v>53</v>
      </c>
      <c r="E155" s="3"/>
      <c r="F155" s="3" t="s">
        <v>269</v>
      </c>
    </row>
    <row r="156" spans="2:6" ht="15.75" customHeight="1">
      <c r="B156" s="3">
        <v>15473</v>
      </c>
      <c r="C156" s="3" t="s">
        <v>31</v>
      </c>
      <c r="D156" s="3" t="s">
        <v>46</v>
      </c>
      <c r="E156" s="3"/>
      <c r="F156" s="3" t="s">
        <v>270</v>
      </c>
    </row>
    <row r="157" spans="2:6" ht="15.75" customHeight="1">
      <c r="B157" s="3">
        <v>15474</v>
      </c>
      <c r="C157" s="3" t="s">
        <v>24</v>
      </c>
      <c r="D157" s="3" t="s">
        <v>57</v>
      </c>
      <c r="E157" s="3"/>
      <c r="F157" s="3" t="s">
        <v>271</v>
      </c>
    </row>
    <row r="158" spans="2:6" ht="15.75" customHeight="1">
      <c r="B158" s="3">
        <v>15475</v>
      </c>
      <c r="C158" s="3" t="s">
        <v>31</v>
      </c>
      <c r="D158" s="3" t="s">
        <v>33</v>
      </c>
      <c r="E158" s="3"/>
      <c r="F158" s="3" t="s">
        <v>272</v>
      </c>
    </row>
    <row r="159" spans="2:6" ht="15.75" customHeight="1">
      <c r="B159" s="3">
        <v>15476</v>
      </c>
      <c r="C159" s="3" t="s">
        <v>44</v>
      </c>
      <c r="D159" s="3" t="s">
        <v>20</v>
      </c>
      <c r="E159" s="3"/>
      <c r="F159" s="3" t="s">
        <v>273</v>
      </c>
    </row>
    <row r="160" spans="2:6" ht="15.75" customHeight="1">
      <c r="B160" s="3">
        <v>15477</v>
      </c>
      <c r="C160" s="3" t="s">
        <v>51</v>
      </c>
      <c r="D160" s="3" t="s">
        <v>53</v>
      </c>
      <c r="E160" s="3"/>
      <c r="F160" s="3" t="s">
        <v>274</v>
      </c>
    </row>
    <row r="161" spans="2:6" ht="15.75" customHeight="1">
      <c r="B161" s="3">
        <v>15478</v>
      </c>
      <c r="C161" s="3" t="s">
        <v>61</v>
      </c>
      <c r="D161" s="3" t="s">
        <v>20</v>
      </c>
      <c r="E161" s="3"/>
      <c r="F161" s="3" t="s">
        <v>275</v>
      </c>
    </row>
    <row r="162" spans="2:6" ht="15.75" customHeight="1">
      <c r="B162" s="3">
        <v>15479</v>
      </c>
      <c r="C162" s="3" t="s">
        <v>51</v>
      </c>
      <c r="D162" s="3" t="s">
        <v>33</v>
      </c>
      <c r="E162" s="3"/>
      <c r="F162" s="3" t="s">
        <v>276</v>
      </c>
    </row>
    <row r="163" spans="2:6" ht="15.75" customHeight="1">
      <c r="B163" s="3">
        <v>15480</v>
      </c>
      <c r="C163" s="3" t="s">
        <v>31</v>
      </c>
      <c r="D163" s="3" t="s">
        <v>83</v>
      </c>
      <c r="E163" s="3"/>
      <c r="F163" s="3" t="s">
        <v>277</v>
      </c>
    </row>
    <row r="164" spans="2:6" ht="15.75" customHeight="1">
      <c r="B164" s="3">
        <v>15481</v>
      </c>
      <c r="C164" s="3" t="s">
        <v>24</v>
      </c>
      <c r="D164" s="3" t="s">
        <v>57</v>
      </c>
      <c r="E164" s="3"/>
      <c r="F164" s="3" t="s">
        <v>278</v>
      </c>
    </row>
    <row r="165" spans="2:6" ht="15.75" customHeight="1">
      <c r="B165" s="3">
        <v>15482</v>
      </c>
      <c r="C165" s="3" t="s">
        <v>24</v>
      </c>
      <c r="D165" s="3" t="s">
        <v>57</v>
      </c>
      <c r="E165" s="3"/>
      <c r="F165" s="3" t="s">
        <v>279</v>
      </c>
    </row>
    <row r="166" spans="2:6" ht="15.75" customHeight="1">
      <c r="B166" s="3">
        <v>15483</v>
      </c>
      <c r="C166" s="3" t="s">
        <v>67</v>
      </c>
      <c r="D166" s="3" t="s">
        <v>89</v>
      </c>
      <c r="E166" s="3"/>
      <c r="F166" s="3" t="s">
        <v>280</v>
      </c>
    </row>
    <row r="167" spans="2:6" ht="15.75" customHeight="1">
      <c r="B167" s="3">
        <v>15484</v>
      </c>
      <c r="C167" s="3" t="s">
        <v>55</v>
      </c>
      <c r="D167" s="3" t="s">
        <v>83</v>
      </c>
      <c r="E167" s="3"/>
      <c r="F167" s="3" t="s">
        <v>282</v>
      </c>
    </row>
    <row r="168" spans="2:6" ht="15.75" customHeight="1">
      <c r="B168" s="3">
        <v>15485</v>
      </c>
      <c r="C168" s="3" t="s">
        <v>51</v>
      </c>
      <c r="D168" s="3" t="s">
        <v>83</v>
      </c>
      <c r="E168" s="3"/>
      <c r="F168" s="3" t="s">
        <v>283</v>
      </c>
    </row>
    <row r="169" spans="2:6" ht="15.75" customHeight="1">
      <c r="B169" s="3">
        <v>15486</v>
      </c>
      <c r="C169" s="3" t="s">
        <v>51</v>
      </c>
      <c r="D169" s="3" t="s">
        <v>83</v>
      </c>
      <c r="E169" s="3"/>
      <c r="F169" s="3" t="s">
        <v>284</v>
      </c>
    </row>
    <row r="170" spans="2:6" ht="15.75" customHeight="1">
      <c r="B170" s="3">
        <v>15487</v>
      </c>
      <c r="C170" s="3" t="s">
        <v>61</v>
      </c>
      <c r="D170" s="3" t="s">
        <v>33</v>
      </c>
      <c r="E170" s="3"/>
      <c r="F170" s="3" t="s">
        <v>286</v>
      </c>
    </row>
    <row r="171" spans="2:6" ht="15.75" customHeight="1">
      <c r="B171" s="3">
        <v>15488</v>
      </c>
      <c r="C171" s="3" t="s">
        <v>19</v>
      </c>
      <c r="D171" s="3" t="s">
        <v>28</v>
      </c>
      <c r="E171" s="3"/>
      <c r="F171" s="3" t="s">
        <v>287</v>
      </c>
    </row>
    <row r="172" spans="2:6" ht="15.75" customHeight="1">
      <c r="B172" s="3">
        <v>15489</v>
      </c>
      <c r="C172" s="3" t="s">
        <v>67</v>
      </c>
      <c r="D172" s="3" t="s">
        <v>28</v>
      </c>
      <c r="E172" s="3"/>
      <c r="F172" s="3" t="s">
        <v>291</v>
      </c>
    </row>
    <row r="173" spans="2:6" ht="15.75" customHeight="1">
      <c r="B173" s="3">
        <v>15490</v>
      </c>
      <c r="C173" s="3" t="s">
        <v>31</v>
      </c>
      <c r="D173" s="3" t="s">
        <v>83</v>
      </c>
      <c r="E173" s="3"/>
      <c r="F173" s="3" t="s">
        <v>292</v>
      </c>
    </row>
    <row r="174" spans="2:6" ht="15.75" customHeight="1">
      <c r="B174" s="3">
        <v>15491</v>
      </c>
      <c r="C174" s="3" t="s">
        <v>24</v>
      </c>
      <c r="D174" s="3" t="s">
        <v>75</v>
      </c>
      <c r="E174" s="3"/>
      <c r="F174" s="3" t="s">
        <v>295</v>
      </c>
    </row>
    <row r="175" spans="2:6" ht="15.75" customHeight="1">
      <c r="B175" s="3">
        <v>15492</v>
      </c>
      <c r="C175" s="3" t="s">
        <v>19</v>
      </c>
      <c r="D175" s="3" t="s">
        <v>28</v>
      </c>
      <c r="E175" s="3"/>
      <c r="F175" s="3" t="s">
        <v>297</v>
      </c>
    </row>
    <row r="176" spans="2:6" ht="15.75" customHeight="1">
      <c r="B176" s="3">
        <v>15493</v>
      </c>
      <c r="C176" s="3" t="s">
        <v>61</v>
      </c>
      <c r="D176" s="3" t="s">
        <v>33</v>
      </c>
      <c r="E176" s="3"/>
      <c r="F176" s="3" t="s">
        <v>300</v>
      </c>
    </row>
    <row r="177" spans="2:6" ht="15.75" customHeight="1">
      <c r="B177" s="3">
        <v>15494</v>
      </c>
      <c r="C177" s="3" t="s">
        <v>31</v>
      </c>
      <c r="D177" s="3" t="s">
        <v>75</v>
      </c>
      <c r="E177" s="3"/>
      <c r="F177" s="3" t="s">
        <v>301</v>
      </c>
    </row>
    <row r="178" spans="2:6" ht="15.75" customHeight="1">
      <c r="B178" s="3">
        <v>15495</v>
      </c>
      <c r="C178" s="3" t="s">
        <v>67</v>
      </c>
      <c r="D178" s="3" t="s">
        <v>33</v>
      </c>
      <c r="E178" s="3"/>
      <c r="F178" s="3" t="s">
        <v>302</v>
      </c>
    </row>
    <row r="179" spans="2:6" ht="15.75" customHeight="1">
      <c r="B179" s="3">
        <v>15496</v>
      </c>
      <c r="C179" s="3" t="s">
        <v>19</v>
      </c>
      <c r="D179" s="3" t="s">
        <v>49</v>
      </c>
      <c r="E179" s="3"/>
      <c r="F179" s="3" t="s">
        <v>303</v>
      </c>
    </row>
    <row r="180" spans="2:6" ht="15.75" customHeight="1">
      <c r="B180" s="3">
        <v>15497</v>
      </c>
      <c r="C180" s="3" t="s">
        <v>44</v>
      </c>
      <c r="D180" s="3" t="s">
        <v>53</v>
      </c>
      <c r="E180" s="3"/>
      <c r="F180" s="3" t="s">
        <v>304</v>
      </c>
    </row>
    <row r="181" spans="2:6" ht="15.75" customHeight="1">
      <c r="B181" s="3">
        <v>15498</v>
      </c>
      <c r="C181" s="3" t="s">
        <v>51</v>
      </c>
      <c r="D181" s="3" t="s">
        <v>28</v>
      </c>
      <c r="E181" s="3"/>
      <c r="F181" s="3" t="s">
        <v>305</v>
      </c>
    </row>
    <row r="182" spans="2:6" ht="15.75" customHeight="1">
      <c r="B182" s="3">
        <v>15499</v>
      </c>
      <c r="C182" s="3" t="s">
        <v>55</v>
      </c>
      <c r="D182" s="3" t="s">
        <v>49</v>
      </c>
      <c r="E182" s="3"/>
      <c r="F182" s="3" t="s">
        <v>306</v>
      </c>
    </row>
    <row r="183" spans="2:6" ht="15.75" customHeight="1">
      <c r="B183" s="3">
        <v>15500</v>
      </c>
      <c r="C183" s="3" t="s">
        <v>19</v>
      </c>
      <c r="D183" s="3" t="s">
        <v>49</v>
      </c>
      <c r="E183" s="3"/>
      <c r="F183" s="3" t="s">
        <v>307</v>
      </c>
    </row>
    <row r="184" spans="2:6" ht="15.75" customHeight="1">
      <c r="B184" s="3">
        <v>15501</v>
      </c>
      <c r="C184" s="3" t="s">
        <v>31</v>
      </c>
      <c r="D184" s="3" t="s">
        <v>75</v>
      </c>
      <c r="E184" s="3"/>
      <c r="F184" s="3" t="s">
        <v>308</v>
      </c>
    </row>
    <row r="185" spans="2:6" ht="15.75" customHeight="1">
      <c r="B185" s="3">
        <v>15502</v>
      </c>
      <c r="C185" s="3" t="s">
        <v>67</v>
      </c>
      <c r="D185" s="3" t="s">
        <v>89</v>
      </c>
      <c r="E185" s="3"/>
      <c r="F185" s="3" t="s">
        <v>309</v>
      </c>
    </row>
    <row r="186" spans="2:6" ht="15.75" customHeight="1">
      <c r="B186" s="3">
        <v>15503</v>
      </c>
      <c r="C186" s="3" t="s">
        <v>31</v>
      </c>
      <c r="D186" s="3" t="s">
        <v>83</v>
      </c>
      <c r="E186" s="3"/>
      <c r="F186" s="3" t="s">
        <v>311</v>
      </c>
    </row>
    <row r="187" spans="2:6" ht="15.75" customHeight="1">
      <c r="B187" s="3">
        <v>15504</v>
      </c>
      <c r="C187" s="3" t="s">
        <v>19</v>
      </c>
      <c r="D187" s="3" t="s">
        <v>33</v>
      </c>
      <c r="E187" s="3"/>
      <c r="F187" s="3" t="s">
        <v>312</v>
      </c>
    </row>
    <row r="188" spans="2:6" ht="15.75" customHeight="1">
      <c r="B188" s="3">
        <v>15505</v>
      </c>
      <c r="C188" s="3" t="s">
        <v>24</v>
      </c>
      <c r="D188" s="3" t="s">
        <v>49</v>
      </c>
      <c r="E188" s="3"/>
      <c r="F188" s="3" t="s">
        <v>314</v>
      </c>
    </row>
    <row r="189" spans="2:6" ht="15.75" customHeight="1">
      <c r="B189" s="3">
        <v>15506</v>
      </c>
      <c r="C189" s="3" t="s">
        <v>31</v>
      </c>
      <c r="D189" s="3" t="s">
        <v>46</v>
      </c>
      <c r="E189" s="3"/>
      <c r="F189" s="3" t="s">
        <v>316</v>
      </c>
    </row>
    <row r="190" spans="2:6" ht="15.75" customHeight="1">
      <c r="B190" s="3">
        <v>15507</v>
      </c>
      <c r="C190" s="3" t="s">
        <v>55</v>
      </c>
      <c r="D190" s="3" t="s">
        <v>75</v>
      </c>
      <c r="E190" s="3"/>
      <c r="F190" s="3" t="s">
        <v>318</v>
      </c>
    </row>
    <row r="191" spans="2:6" ht="15.75" customHeight="1">
      <c r="B191" s="3">
        <v>15508</v>
      </c>
      <c r="C191" s="3" t="s">
        <v>44</v>
      </c>
      <c r="D191" s="3" t="s">
        <v>57</v>
      </c>
      <c r="E191" s="3"/>
      <c r="F191" s="3" t="s">
        <v>322</v>
      </c>
    </row>
    <row r="192" spans="2:6" ht="15.75" customHeight="1">
      <c r="B192" s="3">
        <v>15509</v>
      </c>
      <c r="C192" s="3" t="s">
        <v>39</v>
      </c>
      <c r="D192" s="3" t="s">
        <v>89</v>
      </c>
      <c r="E192" s="3"/>
      <c r="F192" s="3" t="s">
        <v>323</v>
      </c>
    </row>
    <row r="193" spans="2:6" ht="15.75" customHeight="1">
      <c r="B193" s="3">
        <v>15510</v>
      </c>
      <c r="C193" s="3" t="s">
        <v>19</v>
      </c>
      <c r="D193" s="3" t="s">
        <v>83</v>
      </c>
      <c r="E193" s="3"/>
      <c r="F193" s="3" t="s">
        <v>326</v>
      </c>
    </row>
    <row r="194" spans="2:6" ht="15.75" customHeight="1">
      <c r="B194" s="3">
        <v>15511</v>
      </c>
      <c r="C194" s="3" t="s">
        <v>39</v>
      </c>
      <c r="D194" s="3" t="s">
        <v>75</v>
      </c>
      <c r="E194" s="3"/>
      <c r="F194" s="3" t="s">
        <v>328</v>
      </c>
    </row>
    <row r="195" spans="2:6" ht="15.75" customHeight="1">
      <c r="B195" s="3">
        <v>15512</v>
      </c>
      <c r="C195" s="3" t="s">
        <v>44</v>
      </c>
      <c r="D195" s="3" t="s">
        <v>49</v>
      </c>
      <c r="E195" s="3"/>
      <c r="F195" s="3" t="s">
        <v>332</v>
      </c>
    </row>
    <row r="196" spans="2:6" ht="15.75" customHeight="1">
      <c r="B196" s="3">
        <v>15513</v>
      </c>
      <c r="C196" s="3" t="s">
        <v>51</v>
      </c>
      <c r="D196" s="3" t="s">
        <v>49</v>
      </c>
      <c r="E196" s="3"/>
      <c r="F196" s="3" t="s">
        <v>334</v>
      </c>
    </row>
    <row r="197" spans="2:6" ht="15.75" customHeight="1">
      <c r="B197" s="3">
        <v>15514</v>
      </c>
      <c r="C197" s="3" t="s">
        <v>39</v>
      </c>
      <c r="D197" s="3" t="s">
        <v>49</v>
      </c>
      <c r="E197" s="3"/>
      <c r="F197" s="3" t="s">
        <v>337</v>
      </c>
    </row>
    <row r="198" spans="2:6" ht="15.75" customHeight="1">
      <c r="B198" s="3">
        <v>15515</v>
      </c>
      <c r="C198" s="3" t="s">
        <v>39</v>
      </c>
      <c r="D198" s="3" t="s">
        <v>75</v>
      </c>
      <c r="E198" s="3"/>
      <c r="F198" s="3" t="s">
        <v>341</v>
      </c>
    </row>
    <row r="199" spans="2:6" ht="15.75" customHeight="1">
      <c r="B199" s="3">
        <v>15516</v>
      </c>
      <c r="C199" s="3" t="s">
        <v>31</v>
      </c>
      <c r="D199" s="3" t="s">
        <v>83</v>
      </c>
      <c r="E199" s="3"/>
      <c r="F199" s="3" t="s">
        <v>343</v>
      </c>
    </row>
    <row r="200" spans="2:6" ht="15.75" customHeight="1">
      <c r="B200" s="3">
        <v>15517</v>
      </c>
      <c r="C200" s="3" t="s">
        <v>44</v>
      </c>
      <c r="D200" s="3" t="s">
        <v>75</v>
      </c>
      <c r="E200" s="3"/>
      <c r="F200" s="3" t="s">
        <v>345</v>
      </c>
    </row>
    <row r="201" spans="2:6" ht="15.75" customHeight="1">
      <c r="B201" s="3">
        <v>15518</v>
      </c>
      <c r="C201" s="3" t="s">
        <v>19</v>
      </c>
      <c r="D201" s="3" t="s">
        <v>53</v>
      </c>
      <c r="E201" s="3"/>
      <c r="F201" s="3" t="s">
        <v>348</v>
      </c>
    </row>
    <row r="202" spans="2:6" ht="15.75" customHeight="1">
      <c r="B202" s="3">
        <v>15519</v>
      </c>
      <c r="C202" s="3" t="s">
        <v>24</v>
      </c>
      <c r="D202" s="3" t="s">
        <v>49</v>
      </c>
      <c r="E202" s="3"/>
      <c r="F202" s="3" t="s">
        <v>350</v>
      </c>
    </row>
    <row r="203" spans="2:6" ht="15.75" customHeight="1">
      <c r="B203" s="3">
        <v>15520</v>
      </c>
      <c r="C203" s="3" t="s">
        <v>51</v>
      </c>
      <c r="D203" s="3" t="s">
        <v>57</v>
      </c>
      <c r="E203" s="3"/>
      <c r="F203" s="3" t="s">
        <v>351</v>
      </c>
    </row>
    <row r="204" spans="2:6" ht="15.75" customHeight="1">
      <c r="B204" s="3">
        <v>15521</v>
      </c>
      <c r="C204" s="3" t="s">
        <v>67</v>
      </c>
      <c r="D204" s="3" t="s">
        <v>75</v>
      </c>
      <c r="E204" s="3"/>
      <c r="F204" s="3" t="s">
        <v>353</v>
      </c>
    </row>
    <row r="205" spans="2:6" ht="15.75" customHeight="1">
      <c r="B205" s="3">
        <v>15522</v>
      </c>
      <c r="C205" s="3" t="s">
        <v>61</v>
      </c>
      <c r="D205" s="3" t="s">
        <v>89</v>
      </c>
      <c r="E205" s="3"/>
      <c r="F205" s="3" t="s">
        <v>355</v>
      </c>
    </row>
    <row r="206" spans="2:6" ht="15.75" customHeight="1">
      <c r="B206" s="3">
        <v>15523</v>
      </c>
      <c r="C206" s="3" t="s">
        <v>51</v>
      </c>
      <c r="D206" s="3" t="s">
        <v>20</v>
      </c>
      <c r="E206" s="3"/>
      <c r="F206" s="3" t="s">
        <v>357</v>
      </c>
    </row>
    <row r="207" spans="2:6" ht="15.75" customHeight="1">
      <c r="B207" s="3">
        <v>15524</v>
      </c>
      <c r="C207" s="3" t="s">
        <v>51</v>
      </c>
      <c r="D207" s="3" t="s">
        <v>89</v>
      </c>
      <c r="E207" s="3"/>
      <c r="F207" s="3" t="s">
        <v>359</v>
      </c>
    </row>
    <row r="208" spans="2:6" ht="15.75" customHeight="1">
      <c r="B208" s="3">
        <v>15525</v>
      </c>
      <c r="C208" s="3" t="s">
        <v>51</v>
      </c>
      <c r="D208" s="3" t="s">
        <v>57</v>
      </c>
      <c r="E208" s="3"/>
      <c r="F208" s="3" t="s">
        <v>360</v>
      </c>
    </row>
    <row r="209" spans="2:6" ht="15.75" customHeight="1">
      <c r="B209" s="3">
        <v>15526</v>
      </c>
      <c r="C209" s="3" t="s">
        <v>24</v>
      </c>
      <c r="D209" s="3" t="s">
        <v>49</v>
      </c>
      <c r="E209" s="3"/>
      <c r="F209" s="3" t="s">
        <v>362</v>
      </c>
    </row>
    <row r="210" spans="2:6" ht="15.75" customHeight="1">
      <c r="B210" s="3">
        <v>15527</v>
      </c>
      <c r="C210" s="3" t="s">
        <v>51</v>
      </c>
      <c r="D210" s="3" t="s">
        <v>57</v>
      </c>
      <c r="E210" s="3"/>
      <c r="F210" s="3" t="s">
        <v>364</v>
      </c>
    </row>
    <row r="211" spans="2:6" ht="15.75" customHeight="1">
      <c r="B211" s="3">
        <v>15528</v>
      </c>
      <c r="C211" s="3" t="s">
        <v>51</v>
      </c>
      <c r="D211" s="3" t="s">
        <v>89</v>
      </c>
      <c r="E211" s="3"/>
      <c r="F211" s="3" t="s">
        <v>366</v>
      </c>
    </row>
    <row r="212" spans="2:6" ht="15.75" customHeight="1">
      <c r="B212" s="3">
        <v>15529</v>
      </c>
      <c r="C212" s="3" t="s">
        <v>51</v>
      </c>
      <c r="D212" s="3" t="s">
        <v>46</v>
      </c>
      <c r="E212" s="3"/>
      <c r="F212" s="3" t="s">
        <v>368</v>
      </c>
    </row>
    <row r="213" spans="2:6" ht="15.75" customHeight="1">
      <c r="B213" s="3">
        <v>15530</v>
      </c>
      <c r="C213" s="3" t="s">
        <v>19</v>
      </c>
      <c r="D213" s="3" t="s">
        <v>49</v>
      </c>
      <c r="E213" s="3"/>
      <c r="F213" s="3" t="s">
        <v>370</v>
      </c>
    </row>
    <row r="214" spans="2:6" ht="15.75" customHeight="1">
      <c r="B214" s="3">
        <v>15531</v>
      </c>
      <c r="C214" s="3" t="s">
        <v>31</v>
      </c>
      <c r="D214" s="3" t="s">
        <v>33</v>
      </c>
      <c r="E214" s="3"/>
      <c r="F214" s="3" t="s">
        <v>371</v>
      </c>
    </row>
    <row r="215" spans="2:6" ht="15.75" customHeight="1">
      <c r="B215" s="3">
        <v>15532</v>
      </c>
      <c r="C215" s="3" t="s">
        <v>31</v>
      </c>
      <c r="D215" s="3" t="s">
        <v>75</v>
      </c>
      <c r="E215" s="3"/>
      <c r="F215" s="3" t="s">
        <v>373</v>
      </c>
    </row>
    <row r="216" spans="2:6" ht="15.75" customHeight="1">
      <c r="B216" s="3">
        <v>15533</v>
      </c>
      <c r="C216" s="3" t="s">
        <v>61</v>
      </c>
      <c r="D216" s="3" t="s">
        <v>83</v>
      </c>
      <c r="E216" s="3"/>
      <c r="F216" s="3" t="s">
        <v>376</v>
      </c>
    </row>
    <row r="217" spans="2:6" ht="15.75" customHeight="1">
      <c r="B217" s="3">
        <v>15534</v>
      </c>
      <c r="C217" s="3" t="s">
        <v>51</v>
      </c>
      <c r="D217" s="3" t="s">
        <v>83</v>
      </c>
      <c r="E217" s="3"/>
      <c r="F217" s="3" t="s">
        <v>377</v>
      </c>
    </row>
    <row r="218" spans="2:6" ht="15.75" customHeight="1">
      <c r="B218" s="3">
        <v>15535</v>
      </c>
      <c r="C218" s="3" t="s">
        <v>51</v>
      </c>
      <c r="D218" s="3" t="s">
        <v>57</v>
      </c>
      <c r="E218" s="3"/>
      <c r="F218" s="3" t="s">
        <v>379</v>
      </c>
    </row>
    <row r="219" spans="2:6" ht="15.75" customHeight="1">
      <c r="B219" s="3">
        <v>15536</v>
      </c>
      <c r="C219" s="3" t="s">
        <v>19</v>
      </c>
      <c r="D219" s="3" t="s">
        <v>33</v>
      </c>
      <c r="E219" s="3"/>
      <c r="F219" s="3" t="s">
        <v>382</v>
      </c>
    </row>
    <row r="220" spans="2:6" ht="15.75" customHeight="1">
      <c r="B220" s="3">
        <v>15537</v>
      </c>
      <c r="C220" s="3" t="s">
        <v>24</v>
      </c>
      <c r="D220" s="3" t="s">
        <v>46</v>
      </c>
      <c r="E220" s="3"/>
      <c r="F220" s="3" t="s">
        <v>383</v>
      </c>
    </row>
    <row r="221" spans="2:6" ht="15.75" customHeight="1">
      <c r="B221" s="3">
        <v>15538</v>
      </c>
      <c r="C221" s="3" t="s">
        <v>24</v>
      </c>
      <c r="D221" s="3" t="s">
        <v>46</v>
      </c>
      <c r="E221" s="3"/>
      <c r="F221" s="3" t="s">
        <v>385</v>
      </c>
    </row>
    <row r="222" spans="2:6" ht="15.75" customHeight="1">
      <c r="B222" s="3">
        <v>15539</v>
      </c>
      <c r="C222" s="3" t="s">
        <v>31</v>
      </c>
      <c r="D222" s="3" t="s">
        <v>20</v>
      </c>
      <c r="E222" s="3"/>
      <c r="F222" s="3" t="s">
        <v>386</v>
      </c>
    </row>
    <row r="223" spans="2:6" ht="15.75" customHeight="1">
      <c r="B223" s="3">
        <v>15540</v>
      </c>
      <c r="C223" s="3" t="s">
        <v>55</v>
      </c>
      <c r="D223" s="3" t="s">
        <v>28</v>
      </c>
      <c r="E223" s="3"/>
      <c r="F223" s="3" t="s">
        <v>388</v>
      </c>
    </row>
    <row r="224" spans="2:6" ht="15.75" customHeight="1">
      <c r="B224" s="3">
        <v>15541</v>
      </c>
      <c r="C224" s="3" t="s">
        <v>31</v>
      </c>
      <c r="D224" s="3" t="s">
        <v>20</v>
      </c>
      <c r="E224" s="3"/>
      <c r="F224" s="3" t="s">
        <v>390</v>
      </c>
    </row>
    <row r="225" spans="2:6" ht="15.75" customHeight="1">
      <c r="B225" s="3">
        <v>15542</v>
      </c>
      <c r="C225" s="3" t="s">
        <v>44</v>
      </c>
      <c r="D225" s="3" t="s">
        <v>20</v>
      </c>
      <c r="E225" s="3"/>
      <c r="F225" s="3" t="s">
        <v>391</v>
      </c>
    </row>
    <row r="226" spans="2:6" ht="15.75" customHeight="1">
      <c r="B226" s="3">
        <v>15543</v>
      </c>
      <c r="C226" s="3" t="s">
        <v>24</v>
      </c>
      <c r="D226" s="3" t="s">
        <v>20</v>
      </c>
      <c r="E226" s="3"/>
      <c r="F226" s="3" t="s">
        <v>393</v>
      </c>
    </row>
    <row r="227" spans="2:6" ht="15.75" customHeight="1">
      <c r="B227" s="3">
        <v>15544</v>
      </c>
      <c r="C227" s="3" t="s">
        <v>31</v>
      </c>
      <c r="D227" s="3" t="s">
        <v>20</v>
      </c>
      <c r="E227" s="3"/>
      <c r="F227" s="3" t="s">
        <v>395</v>
      </c>
    </row>
    <row r="228" spans="2:6" ht="15.75" customHeight="1">
      <c r="B228" s="3">
        <v>15545</v>
      </c>
      <c r="C228" s="3" t="s">
        <v>51</v>
      </c>
      <c r="D228" s="3" t="s">
        <v>46</v>
      </c>
      <c r="E228" s="3"/>
      <c r="F228" s="3" t="s">
        <v>397</v>
      </c>
    </row>
    <row r="229" spans="2:6" ht="15.75" customHeight="1">
      <c r="B229" s="3">
        <v>15546</v>
      </c>
      <c r="C229" s="3" t="s">
        <v>24</v>
      </c>
      <c r="D229" s="3" t="s">
        <v>28</v>
      </c>
      <c r="E229" s="3"/>
      <c r="F229" s="3" t="s">
        <v>399</v>
      </c>
    </row>
    <row r="230" spans="2:6" ht="15.75" customHeight="1">
      <c r="B230" s="3">
        <v>15547</v>
      </c>
      <c r="C230" s="3" t="s">
        <v>31</v>
      </c>
      <c r="D230" s="3" t="s">
        <v>83</v>
      </c>
      <c r="E230" s="3"/>
      <c r="F230" s="3" t="s">
        <v>400</v>
      </c>
    </row>
    <row r="231" spans="2:6" ht="15.75" customHeight="1">
      <c r="B231" s="3">
        <v>15548</v>
      </c>
      <c r="C231" s="3" t="s">
        <v>51</v>
      </c>
      <c r="D231" s="3" t="s">
        <v>49</v>
      </c>
      <c r="E231" s="3"/>
      <c r="F231" s="3" t="s">
        <v>402</v>
      </c>
    </row>
    <row r="232" spans="2:6" ht="15.75" customHeight="1">
      <c r="B232" s="3">
        <v>15549</v>
      </c>
      <c r="C232" s="3" t="s">
        <v>26</v>
      </c>
      <c r="D232" s="3" t="s">
        <v>49</v>
      </c>
      <c r="E232" s="3"/>
      <c r="F232" s="3" t="s">
        <v>404</v>
      </c>
    </row>
    <row r="233" spans="2:6" ht="15.75" customHeight="1">
      <c r="B233" s="3">
        <v>15550</v>
      </c>
      <c r="C233" s="3" t="s">
        <v>61</v>
      </c>
      <c r="D233" s="3" t="s">
        <v>89</v>
      </c>
      <c r="E233" s="3"/>
      <c r="F233" s="3" t="s">
        <v>406</v>
      </c>
    </row>
    <row r="234" spans="2:6" ht="15.75" customHeight="1">
      <c r="B234" s="3">
        <v>15551</v>
      </c>
      <c r="C234" s="3" t="s">
        <v>26</v>
      </c>
      <c r="D234" s="3" t="s">
        <v>83</v>
      </c>
      <c r="E234" s="3"/>
      <c r="F234" s="3" t="s">
        <v>407</v>
      </c>
    </row>
    <row r="235" spans="2:6" ht="15.75" customHeight="1">
      <c r="B235" s="3">
        <v>15552</v>
      </c>
      <c r="C235" s="3" t="s">
        <v>26</v>
      </c>
      <c r="D235" s="3" t="s">
        <v>83</v>
      </c>
      <c r="E235" s="3"/>
      <c r="F235" s="3" t="s">
        <v>409</v>
      </c>
    </row>
    <row r="236" spans="2:6" ht="15.75" customHeight="1">
      <c r="B236" s="3">
        <v>15553</v>
      </c>
      <c r="C236" s="3" t="s">
        <v>31</v>
      </c>
      <c r="D236" s="3" t="s">
        <v>75</v>
      </c>
      <c r="E236" s="3"/>
      <c r="F236" s="3" t="s">
        <v>411</v>
      </c>
    </row>
    <row r="237" spans="2:6" ht="15.75" customHeight="1">
      <c r="B237" s="3">
        <v>15554</v>
      </c>
      <c r="C237" s="3" t="s">
        <v>61</v>
      </c>
      <c r="D237" s="3" t="s">
        <v>75</v>
      </c>
      <c r="E237" s="3"/>
      <c r="F237" s="3" t="s">
        <v>413</v>
      </c>
    </row>
    <row r="238" spans="2:6" ht="15.75" customHeight="1">
      <c r="B238" s="3">
        <v>15555</v>
      </c>
      <c r="C238" s="3" t="s">
        <v>19</v>
      </c>
      <c r="D238" s="3" t="s">
        <v>53</v>
      </c>
      <c r="E238" s="3"/>
      <c r="F238" s="3" t="s">
        <v>415</v>
      </c>
    </row>
    <row r="239" spans="2:6" ht="15.75" customHeight="1">
      <c r="B239" s="3">
        <v>15556</v>
      </c>
      <c r="C239" s="3" t="s">
        <v>67</v>
      </c>
      <c r="D239" s="3" t="s">
        <v>83</v>
      </c>
      <c r="E239" s="3"/>
      <c r="F239" s="3" t="s">
        <v>416</v>
      </c>
    </row>
    <row r="240" spans="2:6" ht="15.75" customHeight="1">
      <c r="B240" s="3">
        <v>15557</v>
      </c>
      <c r="C240" s="3" t="s">
        <v>55</v>
      </c>
      <c r="D240" s="3" t="s">
        <v>46</v>
      </c>
      <c r="E240" s="3"/>
      <c r="F240" s="3" t="s">
        <v>418</v>
      </c>
    </row>
    <row r="241" spans="2:6" ht="15.75" customHeight="1">
      <c r="B241" s="3">
        <v>15558</v>
      </c>
      <c r="C241" s="3" t="s">
        <v>24</v>
      </c>
      <c r="D241" s="3" t="s">
        <v>28</v>
      </c>
      <c r="E241" s="3"/>
      <c r="F241" s="3" t="s">
        <v>420</v>
      </c>
    </row>
    <row r="242" spans="2:6" ht="15.75" customHeight="1">
      <c r="B242" s="3">
        <v>15559</v>
      </c>
      <c r="C242" s="3" t="s">
        <v>55</v>
      </c>
      <c r="D242" s="3" t="s">
        <v>83</v>
      </c>
      <c r="E242" s="3"/>
      <c r="F242" s="3" t="s">
        <v>422</v>
      </c>
    </row>
    <row r="243" spans="2:6" ht="15.75" customHeight="1">
      <c r="B243" s="3">
        <v>15560</v>
      </c>
      <c r="C243" s="3" t="s">
        <v>51</v>
      </c>
      <c r="D243" s="3" t="s">
        <v>33</v>
      </c>
      <c r="E243" s="3"/>
      <c r="F243" s="3" t="s">
        <v>423</v>
      </c>
    </row>
    <row r="244" spans="2:6" ht="15.75" customHeight="1">
      <c r="B244" s="3">
        <v>15561</v>
      </c>
      <c r="C244" s="3" t="s">
        <v>39</v>
      </c>
      <c r="D244" s="3" t="s">
        <v>53</v>
      </c>
      <c r="E244" s="3"/>
      <c r="F244" s="3" t="s">
        <v>425</v>
      </c>
    </row>
    <row r="245" spans="2:6" ht="15.75" customHeight="1">
      <c r="B245" s="3">
        <v>15562</v>
      </c>
      <c r="C245" s="3" t="s">
        <v>61</v>
      </c>
      <c r="D245" s="3" t="s">
        <v>89</v>
      </c>
      <c r="E245" s="3"/>
      <c r="F245" s="3" t="s">
        <v>429</v>
      </c>
    </row>
    <row r="246" spans="2:6" ht="15.75" customHeight="1">
      <c r="B246" s="3">
        <v>15563</v>
      </c>
      <c r="C246" s="3" t="s">
        <v>61</v>
      </c>
      <c r="D246" s="3" t="s">
        <v>89</v>
      </c>
      <c r="E246" s="3"/>
      <c r="F246" s="3" t="s">
        <v>431</v>
      </c>
    </row>
    <row r="247" spans="2:6" ht="15.75" customHeight="1">
      <c r="B247" s="3">
        <v>15564</v>
      </c>
      <c r="C247" s="3" t="s">
        <v>67</v>
      </c>
      <c r="D247" s="3" t="s">
        <v>83</v>
      </c>
      <c r="E247" s="3"/>
      <c r="F247" s="3" t="s">
        <v>432</v>
      </c>
    </row>
    <row r="248" spans="2:6" ht="15.75" customHeight="1">
      <c r="B248" s="3">
        <v>15565</v>
      </c>
      <c r="C248" s="3" t="s">
        <v>51</v>
      </c>
      <c r="D248" s="3" t="s">
        <v>33</v>
      </c>
      <c r="E248" s="3"/>
      <c r="F248" s="3" t="s">
        <v>433</v>
      </c>
    </row>
    <row r="249" spans="2:6" ht="15.75" customHeight="1">
      <c r="B249" s="3">
        <v>15566</v>
      </c>
      <c r="C249" s="3" t="s">
        <v>51</v>
      </c>
      <c r="D249" s="3" t="s">
        <v>89</v>
      </c>
      <c r="E249" s="3"/>
      <c r="F249" s="3" t="s">
        <v>434</v>
      </c>
    </row>
    <row r="250" spans="2:6" ht="15.75" customHeight="1">
      <c r="B250" s="3">
        <v>15567</v>
      </c>
      <c r="C250" s="3" t="s">
        <v>39</v>
      </c>
      <c r="D250" s="3" t="s">
        <v>53</v>
      </c>
      <c r="E250" s="3"/>
      <c r="F250" s="3" t="s">
        <v>436</v>
      </c>
    </row>
    <row r="251" spans="2:6" ht="15.75" customHeight="1">
      <c r="B251" s="3">
        <v>15568</v>
      </c>
      <c r="C251" s="3" t="s">
        <v>61</v>
      </c>
      <c r="D251" s="3" t="s">
        <v>49</v>
      </c>
      <c r="E251" s="3"/>
      <c r="F251" s="3" t="s">
        <v>438</v>
      </c>
    </row>
    <row r="252" spans="2:6" ht="15.75" customHeight="1">
      <c r="B252" s="3">
        <v>15569</v>
      </c>
      <c r="C252" s="3" t="s">
        <v>24</v>
      </c>
      <c r="D252" s="3" t="s">
        <v>75</v>
      </c>
      <c r="E252" s="3"/>
      <c r="F252" s="3" t="s">
        <v>439</v>
      </c>
    </row>
    <row r="253" spans="2:6" ht="15.75" customHeight="1">
      <c r="B253" s="3">
        <v>15570</v>
      </c>
      <c r="C253" s="3" t="s">
        <v>55</v>
      </c>
      <c r="D253" s="3" t="s">
        <v>83</v>
      </c>
      <c r="E253" s="3"/>
      <c r="F253" s="3" t="s">
        <v>441</v>
      </c>
    </row>
    <row r="254" spans="2:6" ht="15.75" customHeight="1">
      <c r="B254" s="3">
        <v>15571</v>
      </c>
      <c r="C254" s="3" t="s">
        <v>31</v>
      </c>
      <c r="D254" s="3" t="s">
        <v>57</v>
      </c>
      <c r="E254" s="3"/>
      <c r="F254" s="3" t="s">
        <v>443</v>
      </c>
    </row>
    <row r="255" spans="2:6" ht="15.75" customHeight="1">
      <c r="B255" s="3">
        <v>15572</v>
      </c>
      <c r="C255" s="3" t="s">
        <v>55</v>
      </c>
      <c r="D255" s="3" t="s">
        <v>33</v>
      </c>
      <c r="E255" s="3"/>
      <c r="F255" s="3" t="s">
        <v>445</v>
      </c>
    </row>
    <row r="256" spans="2:6" ht="15.75" customHeight="1">
      <c r="B256" s="3">
        <v>15573</v>
      </c>
      <c r="C256" s="3" t="s">
        <v>44</v>
      </c>
      <c r="D256" s="3" t="s">
        <v>89</v>
      </c>
      <c r="E256" s="3"/>
      <c r="F256" s="3" t="s">
        <v>446</v>
      </c>
    </row>
    <row r="257" spans="2:6" ht="15.75" customHeight="1">
      <c r="B257" s="3">
        <v>15574</v>
      </c>
      <c r="C257" s="3" t="s">
        <v>26</v>
      </c>
      <c r="D257" s="3" t="s">
        <v>83</v>
      </c>
      <c r="E257" s="3"/>
      <c r="F257" s="3" t="s">
        <v>448</v>
      </c>
    </row>
    <row r="258" spans="2:6" ht="15.75" customHeight="1">
      <c r="B258" s="3">
        <v>15575</v>
      </c>
      <c r="C258" s="3" t="s">
        <v>31</v>
      </c>
      <c r="D258" s="3" t="s">
        <v>20</v>
      </c>
      <c r="E258" s="3"/>
      <c r="F258" s="3" t="s">
        <v>450</v>
      </c>
    </row>
    <row r="259" spans="2:6" ht="15.75" customHeight="1">
      <c r="B259" s="3">
        <v>15576</v>
      </c>
      <c r="C259" s="3" t="s">
        <v>55</v>
      </c>
      <c r="D259" s="3" t="s">
        <v>83</v>
      </c>
      <c r="E259" s="3"/>
      <c r="F259" s="3" t="s">
        <v>451</v>
      </c>
    </row>
    <row r="260" spans="2:6" ht="15.75" customHeight="1">
      <c r="B260" s="3">
        <v>15577</v>
      </c>
      <c r="C260" s="3" t="s">
        <v>39</v>
      </c>
      <c r="D260" s="3" t="s">
        <v>89</v>
      </c>
      <c r="E260" s="3"/>
      <c r="F260" s="3" t="s">
        <v>453</v>
      </c>
    </row>
    <row r="261" spans="2:6" ht="15.75" customHeight="1">
      <c r="B261" s="3">
        <v>15578</v>
      </c>
      <c r="C261" s="3" t="s">
        <v>67</v>
      </c>
      <c r="D261" s="3" t="s">
        <v>53</v>
      </c>
      <c r="E261" s="3"/>
      <c r="F261" s="3" t="s">
        <v>455</v>
      </c>
    </row>
    <row r="262" spans="2:6" ht="15.75" customHeight="1">
      <c r="B262" s="3">
        <v>15579</v>
      </c>
      <c r="C262" s="3" t="s">
        <v>31</v>
      </c>
      <c r="D262" s="3" t="s">
        <v>75</v>
      </c>
      <c r="E262" s="3"/>
      <c r="F262" s="3" t="s">
        <v>457</v>
      </c>
    </row>
    <row r="263" spans="2:6" ht="15.75" customHeight="1">
      <c r="B263" s="3">
        <v>15580</v>
      </c>
      <c r="C263" s="3" t="s">
        <v>39</v>
      </c>
      <c r="D263" s="3" t="s">
        <v>20</v>
      </c>
      <c r="E263" s="3"/>
      <c r="F263" s="3" t="s">
        <v>458</v>
      </c>
    </row>
    <row r="264" spans="2:6" ht="15.75" customHeight="1">
      <c r="B264" s="3">
        <v>15581</v>
      </c>
      <c r="C264" s="3" t="s">
        <v>31</v>
      </c>
      <c r="D264" s="3" t="s">
        <v>53</v>
      </c>
      <c r="E264" s="3"/>
      <c r="F264" s="3" t="s">
        <v>460</v>
      </c>
    </row>
    <row r="265" spans="2:6" ht="15.75" customHeight="1">
      <c r="B265" s="3">
        <v>15582</v>
      </c>
      <c r="C265" s="3" t="s">
        <v>26</v>
      </c>
      <c r="D265" s="3" t="s">
        <v>89</v>
      </c>
      <c r="E265" s="3"/>
      <c r="F265" s="3" t="s">
        <v>462</v>
      </c>
    </row>
    <row r="266" spans="2:6" ht="15.75" customHeight="1">
      <c r="B266" s="3">
        <v>15583</v>
      </c>
      <c r="C266" s="3" t="s">
        <v>19</v>
      </c>
      <c r="D266" s="3" t="s">
        <v>20</v>
      </c>
      <c r="E266" s="3"/>
      <c r="F266" s="3" t="s">
        <v>464</v>
      </c>
    </row>
    <row r="267" spans="2:6" ht="15.75" customHeight="1">
      <c r="B267" s="3">
        <v>15584</v>
      </c>
      <c r="C267" s="3" t="s">
        <v>51</v>
      </c>
      <c r="D267" s="3" t="s">
        <v>75</v>
      </c>
      <c r="E267" s="3"/>
      <c r="F267" s="3" t="s">
        <v>466</v>
      </c>
    </row>
    <row r="268" spans="2:6" ht="15.75" customHeight="1">
      <c r="B268" s="3">
        <v>15585</v>
      </c>
      <c r="C268" s="3" t="s">
        <v>44</v>
      </c>
      <c r="D268" s="3" t="s">
        <v>83</v>
      </c>
      <c r="E268" s="3"/>
      <c r="F268" s="3" t="s">
        <v>467</v>
      </c>
    </row>
    <row r="269" spans="2:6" ht="15.75" customHeight="1">
      <c r="B269" s="3">
        <v>15586</v>
      </c>
      <c r="C269" s="3" t="s">
        <v>44</v>
      </c>
      <c r="D269" s="3" t="s">
        <v>53</v>
      </c>
      <c r="E269" s="3"/>
      <c r="F269" s="3" t="s">
        <v>469</v>
      </c>
    </row>
    <row r="270" spans="2:6" ht="15.75" customHeight="1">
      <c r="B270" s="3">
        <v>15587</v>
      </c>
      <c r="C270" s="3" t="s">
        <v>24</v>
      </c>
      <c r="D270" s="3" t="s">
        <v>89</v>
      </c>
      <c r="E270" s="3"/>
      <c r="F270" s="3" t="s">
        <v>471</v>
      </c>
    </row>
    <row r="271" spans="2:6" ht="15.75" customHeight="1">
      <c r="B271" s="3">
        <v>15588</v>
      </c>
      <c r="C271" s="3" t="s">
        <v>24</v>
      </c>
      <c r="D271" s="3" t="s">
        <v>89</v>
      </c>
      <c r="E271" s="3"/>
      <c r="F271" s="3" t="s">
        <v>473</v>
      </c>
    </row>
    <row r="272" spans="2:6" ht="15.75" customHeight="1">
      <c r="B272" s="3">
        <v>15589</v>
      </c>
      <c r="C272" s="3" t="s">
        <v>39</v>
      </c>
      <c r="D272" s="3" t="s">
        <v>49</v>
      </c>
      <c r="E272" s="3"/>
      <c r="F272" s="3" t="s">
        <v>474</v>
      </c>
    </row>
    <row r="273" spans="2:6" ht="15.75" customHeight="1">
      <c r="B273" s="3">
        <v>15590</v>
      </c>
      <c r="C273" s="3" t="s">
        <v>44</v>
      </c>
      <c r="D273" s="3" t="s">
        <v>89</v>
      </c>
      <c r="E273" s="3"/>
      <c r="F273" s="3" t="s">
        <v>476</v>
      </c>
    </row>
    <row r="274" spans="2:6" ht="15.75" customHeight="1">
      <c r="B274" s="3">
        <v>15591</v>
      </c>
      <c r="C274" s="3" t="s">
        <v>26</v>
      </c>
      <c r="D274" s="3" t="s">
        <v>28</v>
      </c>
      <c r="E274" s="3"/>
      <c r="F274" s="3" t="s">
        <v>477</v>
      </c>
    </row>
    <row r="275" spans="2:6" ht="15.75" customHeight="1">
      <c r="B275" s="3">
        <v>15592</v>
      </c>
      <c r="C275" s="3" t="s">
        <v>19</v>
      </c>
      <c r="D275" s="3" t="s">
        <v>28</v>
      </c>
      <c r="E275" s="3"/>
      <c r="F275" s="3" t="s">
        <v>479</v>
      </c>
    </row>
    <row r="276" spans="2:6" ht="15.75" customHeight="1">
      <c r="B276" s="3">
        <v>15593</v>
      </c>
      <c r="C276" s="3" t="s">
        <v>31</v>
      </c>
      <c r="D276" s="3" t="s">
        <v>53</v>
      </c>
      <c r="E276" s="3"/>
      <c r="F276" s="3" t="s">
        <v>481</v>
      </c>
    </row>
    <row r="277" spans="2:6" ht="15.75" customHeight="1">
      <c r="B277" s="3">
        <v>15594</v>
      </c>
      <c r="C277" s="3" t="s">
        <v>31</v>
      </c>
      <c r="D277" s="3" t="s">
        <v>46</v>
      </c>
      <c r="E277" s="3"/>
      <c r="F277" s="3" t="s">
        <v>482</v>
      </c>
    </row>
    <row r="278" spans="2:6" ht="15.75" customHeight="1">
      <c r="B278" s="3">
        <v>15595</v>
      </c>
      <c r="C278" s="3" t="s">
        <v>24</v>
      </c>
      <c r="D278" s="3" t="s">
        <v>46</v>
      </c>
      <c r="E278" s="3"/>
      <c r="F278" s="3" t="s">
        <v>484</v>
      </c>
    </row>
    <row r="279" spans="2:6" ht="15.75" customHeight="1">
      <c r="B279" s="3">
        <v>15596</v>
      </c>
      <c r="C279" s="3" t="s">
        <v>39</v>
      </c>
      <c r="D279" s="3" t="s">
        <v>53</v>
      </c>
      <c r="E279" s="3"/>
      <c r="F279" s="3" t="s">
        <v>486</v>
      </c>
    </row>
    <row r="280" spans="2:6" ht="15.75" customHeight="1">
      <c r="B280" s="3">
        <v>15597</v>
      </c>
      <c r="C280" s="3" t="s">
        <v>51</v>
      </c>
      <c r="D280" s="3" t="s">
        <v>49</v>
      </c>
      <c r="E280" s="3"/>
      <c r="F280" s="3" t="s">
        <v>488</v>
      </c>
    </row>
    <row r="281" spans="2:6" ht="15.75" customHeight="1">
      <c r="B281" s="3">
        <v>15598</v>
      </c>
      <c r="C281" s="3" t="s">
        <v>24</v>
      </c>
      <c r="D281" s="3" t="s">
        <v>46</v>
      </c>
      <c r="E281" s="3"/>
      <c r="F281" s="3" t="s">
        <v>489</v>
      </c>
    </row>
    <row r="282" spans="2:6" ht="15.75" customHeight="1">
      <c r="B282" s="3">
        <v>15599</v>
      </c>
      <c r="C282" s="3" t="s">
        <v>44</v>
      </c>
      <c r="D282" s="3" t="s">
        <v>33</v>
      </c>
      <c r="E282" s="3"/>
      <c r="F282" s="3" t="s">
        <v>491</v>
      </c>
    </row>
    <row r="283" spans="2:6" ht="15.75" customHeight="1">
      <c r="B283" s="3">
        <v>15600</v>
      </c>
      <c r="C283" s="3" t="s">
        <v>44</v>
      </c>
      <c r="D283" s="3" t="s">
        <v>28</v>
      </c>
      <c r="E283" s="3"/>
      <c r="F283" s="3" t="s">
        <v>493</v>
      </c>
    </row>
    <row r="284" spans="2:6" ht="15.75" customHeight="1">
      <c r="B284" s="3">
        <v>15601</v>
      </c>
      <c r="C284" s="3" t="s">
        <v>51</v>
      </c>
      <c r="D284" s="3" t="s">
        <v>28</v>
      </c>
      <c r="E284" s="3"/>
      <c r="F284" s="3" t="s">
        <v>495</v>
      </c>
    </row>
    <row r="285" spans="2:6" ht="15.75" customHeight="1">
      <c r="B285" s="3">
        <v>15602</v>
      </c>
      <c r="C285" s="3" t="s">
        <v>39</v>
      </c>
      <c r="D285" s="3" t="s">
        <v>89</v>
      </c>
      <c r="E285" s="3"/>
      <c r="F285" s="3" t="s">
        <v>496</v>
      </c>
    </row>
    <row r="286" spans="2:6" ht="15.75" customHeight="1">
      <c r="B286" s="3">
        <v>15603</v>
      </c>
      <c r="C286" s="3" t="s">
        <v>26</v>
      </c>
      <c r="D286" s="3" t="s">
        <v>53</v>
      </c>
      <c r="E286" s="3"/>
      <c r="F286" s="3" t="s">
        <v>498</v>
      </c>
    </row>
    <row r="287" spans="2:6" ht="15.75" customHeight="1">
      <c r="B287" s="3">
        <v>15604</v>
      </c>
      <c r="C287" s="3" t="s">
        <v>26</v>
      </c>
      <c r="D287" s="3" t="s">
        <v>49</v>
      </c>
      <c r="E287" s="3"/>
      <c r="F287" s="3" t="s">
        <v>500</v>
      </c>
    </row>
    <row r="288" spans="2:6" ht="15.75" customHeight="1">
      <c r="B288" s="3">
        <v>15605</v>
      </c>
      <c r="C288" s="3" t="s">
        <v>44</v>
      </c>
      <c r="D288" s="3" t="s">
        <v>75</v>
      </c>
      <c r="E288" s="3"/>
      <c r="F288" s="3" t="s">
        <v>501</v>
      </c>
    </row>
    <row r="289" spans="2:6" ht="15.75" customHeight="1">
      <c r="B289" s="3">
        <v>15606</v>
      </c>
      <c r="C289" s="3" t="s">
        <v>61</v>
      </c>
      <c r="D289" s="3" t="s">
        <v>57</v>
      </c>
      <c r="E289" s="3"/>
      <c r="F289" s="3" t="s">
        <v>503</v>
      </c>
    </row>
    <row r="290" spans="2:6" ht="15.75" customHeight="1">
      <c r="B290" s="3">
        <v>15607</v>
      </c>
      <c r="C290" s="3" t="s">
        <v>55</v>
      </c>
      <c r="D290" s="3" t="s">
        <v>49</v>
      </c>
      <c r="E290" s="3"/>
      <c r="F290" s="3" t="s">
        <v>505</v>
      </c>
    </row>
    <row r="291" spans="2:6" ht="15.75" customHeight="1">
      <c r="B291" s="3">
        <v>15608</v>
      </c>
      <c r="C291" s="3" t="s">
        <v>44</v>
      </c>
      <c r="D291" s="3" t="s">
        <v>49</v>
      </c>
      <c r="E291" s="3"/>
      <c r="F291" s="3" t="s">
        <v>506</v>
      </c>
    </row>
    <row r="292" spans="2:6" ht="15.75" customHeight="1">
      <c r="B292" s="3">
        <v>15609</v>
      </c>
      <c r="C292" s="3" t="s">
        <v>31</v>
      </c>
      <c r="D292" s="3" t="s">
        <v>49</v>
      </c>
      <c r="E292" s="3"/>
      <c r="F292" s="3" t="s">
        <v>508</v>
      </c>
    </row>
    <row r="293" spans="2:6" ht="15.75" customHeight="1">
      <c r="B293" s="3">
        <v>15610</v>
      </c>
      <c r="C293" s="3" t="s">
        <v>61</v>
      </c>
      <c r="D293" s="3" t="s">
        <v>57</v>
      </c>
      <c r="E293" s="3"/>
      <c r="F293" s="3" t="s">
        <v>510</v>
      </c>
    </row>
    <row r="294" spans="2:6" ht="15.75" customHeight="1">
      <c r="B294" s="3">
        <v>15611</v>
      </c>
      <c r="C294" s="3" t="s">
        <v>44</v>
      </c>
      <c r="D294" s="3" t="s">
        <v>83</v>
      </c>
      <c r="E294" s="3"/>
      <c r="F294" s="3" t="s">
        <v>511</v>
      </c>
    </row>
    <row r="295" spans="2:6" ht="15.75" customHeight="1">
      <c r="B295" s="3">
        <v>15612</v>
      </c>
      <c r="C295" s="3" t="s">
        <v>39</v>
      </c>
      <c r="D295" s="3" t="s">
        <v>57</v>
      </c>
      <c r="E295" s="3"/>
      <c r="F295" s="3" t="s">
        <v>513</v>
      </c>
    </row>
    <row r="296" spans="2:6" ht="15.75" customHeight="1">
      <c r="B296" s="3">
        <v>15613</v>
      </c>
      <c r="C296" s="3" t="s">
        <v>39</v>
      </c>
      <c r="D296" s="3" t="s">
        <v>75</v>
      </c>
      <c r="E296" s="3"/>
      <c r="F296" s="3" t="s">
        <v>514</v>
      </c>
    </row>
    <row r="297" spans="2:6" ht="15.75" customHeight="1">
      <c r="B297" s="3">
        <v>15614</v>
      </c>
      <c r="C297" s="3" t="s">
        <v>51</v>
      </c>
      <c r="D297" s="3" t="s">
        <v>75</v>
      </c>
      <c r="E297" s="3"/>
      <c r="F297" s="3" t="s">
        <v>516</v>
      </c>
    </row>
    <row r="298" spans="2:6" ht="15.75" customHeight="1">
      <c r="B298" s="3">
        <v>15615</v>
      </c>
      <c r="C298" s="3" t="s">
        <v>61</v>
      </c>
      <c r="D298" s="3" t="s">
        <v>83</v>
      </c>
      <c r="E298" s="3"/>
      <c r="F298" s="3" t="s">
        <v>517</v>
      </c>
    </row>
    <row r="299" spans="2:6" ht="15.75" customHeight="1">
      <c r="B299" s="3">
        <v>15616</v>
      </c>
      <c r="C299" s="3" t="s">
        <v>67</v>
      </c>
      <c r="D299" s="3" t="s">
        <v>89</v>
      </c>
      <c r="E299" s="3"/>
      <c r="F299" s="3" t="s">
        <v>519</v>
      </c>
    </row>
    <row r="300" spans="2:6" ht="15.75" customHeight="1">
      <c r="B300" s="3">
        <v>15617</v>
      </c>
      <c r="C300" s="3" t="s">
        <v>26</v>
      </c>
      <c r="D300" s="3" t="s">
        <v>57</v>
      </c>
      <c r="E300" s="3"/>
      <c r="F300" s="3" t="s">
        <v>521</v>
      </c>
    </row>
    <row r="301" spans="2:6" ht="15.75" customHeight="1">
      <c r="B301" s="3">
        <v>15618</v>
      </c>
      <c r="C301" s="3" t="s">
        <v>55</v>
      </c>
      <c r="D301" s="3" t="s">
        <v>89</v>
      </c>
      <c r="E301" s="3"/>
      <c r="F301" s="3" t="s">
        <v>522</v>
      </c>
    </row>
    <row r="302" spans="2:6" ht="15.75" customHeight="1">
      <c r="B302" s="3">
        <v>15619</v>
      </c>
      <c r="C302" s="3" t="s">
        <v>39</v>
      </c>
      <c r="D302" s="3" t="s">
        <v>57</v>
      </c>
      <c r="E302" s="3"/>
      <c r="F302" s="3" t="s">
        <v>524</v>
      </c>
    </row>
    <row r="303" spans="2:6" ht="15.75" customHeight="1">
      <c r="B303" s="3">
        <v>15620</v>
      </c>
      <c r="C303" s="3" t="s">
        <v>39</v>
      </c>
      <c r="D303" s="3" t="s">
        <v>20</v>
      </c>
      <c r="E303" s="3"/>
      <c r="F303" s="3" t="s">
        <v>526</v>
      </c>
    </row>
    <row r="304" spans="2:6" ht="15.75" customHeight="1">
      <c r="B304" s="3">
        <v>15621</v>
      </c>
      <c r="C304" s="3" t="s">
        <v>31</v>
      </c>
      <c r="D304" s="3" t="s">
        <v>28</v>
      </c>
      <c r="E304" s="3"/>
      <c r="F304" s="3" t="s">
        <v>528</v>
      </c>
    </row>
    <row r="305" spans="2:6" ht="15.75" customHeight="1">
      <c r="B305" s="3">
        <v>15622</v>
      </c>
      <c r="C305" s="3" t="s">
        <v>19</v>
      </c>
      <c r="D305" s="3" t="s">
        <v>20</v>
      </c>
      <c r="E305" s="3"/>
      <c r="F305" s="3" t="s">
        <v>529</v>
      </c>
    </row>
    <row r="306" spans="2:6" ht="15.75" customHeight="1">
      <c r="B306" s="3">
        <v>15623</v>
      </c>
      <c r="C306" s="3" t="s">
        <v>67</v>
      </c>
      <c r="D306" s="3" t="s">
        <v>49</v>
      </c>
      <c r="E306" s="3"/>
      <c r="F306" s="3" t="s">
        <v>531</v>
      </c>
    </row>
    <row r="307" spans="2:6" ht="15.75" customHeight="1">
      <c r="B307" s="3">
        <v>15624</v>
      </c>
      <c r="C307" s="3" t="s">
        <v>24</v>
      </c>
      <c r="D307" s="3" t="s">
        <v>89</v>
      </c>
      <c r="E307" s="3"/>
      <c r="F307" s="3" t="s">
        <v>532</v>
      </c>
    </row>
    <row r="308" spans="2:6" ht="15.75" customHeight="1">
      <c r="B308" s="3">
        <v>15625</v>
      </c>
      <c r="C308" s="3" t="s">
        <v>61</v>
      </c>
      <c r="D308" s="3" t="s">
        <v>53</v>
      </c>
      <c r="E308" s="3"/>
      <c r="F308" s="3" t="s">
        <v>534</v>
      </c>
    </row>
    <row r="309" spans="2:6" ht="15.75" customHeight="1">
      <c r="B309" s="3">
        <v>15626</v>
      </c>
      <c r="C309" s="3" t="s">
        <v>55</v>
      </c>
      <c r="D309" s="3" t="s">
        <v>75</v>
      </c>
      <c r="E309" s="3"/>
      <c r="F309" s="3" t="s">
        <v>535</v>
      </c>
    </row>
    <row r="310" spans="2:6" ht="15.75" customHeight="1">
      <c r="B310" s="3">
        <v>15627</v>
      </c>
      <c r="C310" s="3" t="s">
        <v>51</v>
      </c>
      <c r="D310" s="3" t="s">
        <v>57</v>
      </c>
      <c r="E310" s="3"/>
      <c r="F310" s="3" t="s">
        <v>537</v>
      </c>
    </row>
    <row r="311" spans="2:6" ht="15.75" customHeight="1">
      <c r="B311" s="3">
        <v>15628</v>
      </c>
      <c r="C311" s="3" t="s">
        <v>44</v>
      </c>
      <c r="D311" s="3" t="s">
        <v>75</v>
      </c>
      <c r="E311" s="3"/>
      <c r="F311" s="3" t="s">
        <v>538</v>
      </c>
    </row>
    <row r="312" spans="2:6" ht="15.75" customHeight="1">
      <c r="B312" s="3">
        <v>15629</v>
      </c>
      <c r="C312" s="3" t="s">
        <v>55</v>
      </c>
      <c r="D312" s="3" t="s">
        <v>49</v>
      </c>
      <c r="E312" s="3"/>
      <c r="F312" s="3" t="s">
        <v>540</v>
      </c>
    </row>
    <row r="313" spans="2:6" ht="15.75" customHeight="1">
      <c r="B313" s="3">
        <v>15630</v>
      </c>
      <c r="C313" s="3" t="s">
        <v>26</v>
      </c>
      <c r="D313" s="3" t="s">
        <v>49</v>
      </c>
      <c r="E313" s="3"/>
      <c r="F313" s="3" t="s">
        <v>541</v>
      </c>
    </row>
    <row r="314" spans="2:6" ht="15.75" customHeight="1">
      <c r="B314" s="3">
        <v>15631</v>
      </c>
      <c r="C314" s="3" t="s">
        <v>39</v>
      </c>
      <c r="D314" s="3" t="s">
        <v>53</v>
      </c>
      <c r="E314" s="3"/>
      <c r="F314" s="3" t="s">
        <v>543</v>
      </c>
    </row>
    <row r="315" spans="2:6" ht="15.75" customHeight="1">
      <c r="B315" s="3">
        <v>15632</v>
      </c>
      <c r="C315" s="3" t="s">
        <v>61</v>
      </c>
      <c r="D315" s="3" t="s">
        <v>33</v>
      </c>
      <c r="E315" s="3"/>
      <c r="F315" s="3" t="s">
        <v>545</v>
      </c>
    </row>
    <row r="316" spans="2:6" ht="15.75" customHeight="1">
      <c r="B316" s="3">
        <v>15633</v>
      </c>
      <c r="C316" s="3" t="s">
        <v>61</v>
      </c>
      <c r="D316" s="3" t="s">
        <v>28</v>
      </c>
      <c r="E316" s="3"/>
      <c r="F316" s="3" t="s">
        <v>546</v>
      </c>
    </row>
    <row r="317" spans="2:6" ht="15.75" customHeight="1">
      <c r="B317" s="3">
        <v>15634</v>
      </c>
      <c r="C317" s="3" t="s">
        <v>61</v>
      </c>
      <c r="D317" s="3" t="s">
        <v>57</v>
      </c>
      <c r="E317" s="3"/>
      <c r="F317" s="3" t="s">
        <v>548</v>
      </c>
    </row>
    <row r="318" spans="2:6" ht="15.75" customHeight="1">
      <c r="B318" s="3">
        <v>15635</v>
      </c>
      <c r="C318" s="3" t="s">
        <v>67</v>
      </c>
      <c r="D318" s="3" t="s">
        <v>46</v>
      </c>
      <c r="E318" s="3"/>
      <c r="F318" s="3" t="s">
        <v>550</v>
      </c>
    </row>
    <row r="319" spans="2:6" ht="15.75" customHeight="1">
      <c r="B319" s="3">
        <v>15636</v>
      </c>
      <c r="C319" s="3" t="s">
        <v>31</v>
      </c>
      <c r="D319" s="3" t="s">
        <v>28</v>
      </c>
      <c r="E319" s="3"/>
      <c r="F319" s="3" t="s">
        <v>551</v>
      </c>
    </row>
    <row r="320" spans="2:6" ht="15.75" customHeight="1">
      <c r="B320" s="3">
        <v>15637</v>
      </c>
      <c r="C320" s="3" t="s">
        <v>55</v>
      </c>
      <c r="D320" s="3" t="s">
        <v>20</v>
      </c>
      <c r="E320" s="3"/>
      <c r="F320" s="3" t="s">
        <v>553</v>
      </c>
    </row>
    <row r="321" spans="2:6" ht="15.75" customHeight="1">
      <c r="B321" s="3">
        <v>15638</v>
      </c>
      <c r="C321" s="3" t="s">
        <v>26</v>
      </c>
      <c r="D321" s="3" t="s">
        <v>53</v>
      </c>
      <c r="E321" s="3"/>
      <c r="F321" s="3" t="s">
        <v>554</v>
      </c>
    </row>
    <row r="322" spans="2:6" ht="15.75" customHeight="1">
      <c r="B322" s="3">
        <v>15639</v>
      </c>
      <c r="C322" s="3" t="s">
        <v>31</v>
      </c>
      <c r="D322" s="3" t="s">
        <v>57</v>
      </c>
      <c r="E322" s="3"/>
      <c r="F322" s="3" t="s">
        <v>556</v>
      </c>
    </row>
    <row r="323" spans="2:6" ht="15.75" customHeight="1">
      <c r="B323" s="3">
        <v>15640</v>
      </c>
      <c r="C323" s="3" t="s">
        <v>39</v>
      </c>
      <c r="D323" s="3" t="s">
        <v>46</v>
      </c>
      <c r="E323" s="3"/>
      <c r="F323" s="3" t="s">
        <v>557</v>
      </c>
    </row>
    <row r="324" spans="2:6" ht="15.75" customHeight="1">
      <c r="B324" s="3">
        <v>15641</v>
      </c>
      <c r="C324" s="3" t="s">
        <v>19</v>
      </c>
      <c r="D324" s="3" t="s">
        <v>28</v>
      </c>
      <c r="E324" s="3"/>
      <c r="F324" s="3" t="s">
        <v>559</v>
      </c>
    </row>
    <row r="325" spans="2:6" ht="15.75" customHeight="1">
      <c r="B325" s="3">
        <v>15642</v>
      </c>
      <c r="C325" s="3" t="s">
        <v>44</v>
      </c>
      <c r="D325" s="3" t="s">
        <v>28</v>
      </c>
      <c r="E325" s="3"/>
      <c r="F325" s="3" t="s">
        <v>560</v>
      </c>
    </row>
    <row r="326" spans="2:6" ht="15.75" customHeight="1">
      <c r="B326" s="3">
        <v>15643</v>
      </c>
      <c r="C326" s="3" t="s">
        <v>24</v>
      </c>
      <c r="D326" s="3" t="s">
        <v>57</v>
      </c>
      <c r="E326" s="3"/>
      <c r="F326" s="3" t="s">
        <v>562</v>
      </c>
    </row>
    <row r="327" spans="2:6" ht="15.75" customHeight="1">
      <c r="B327" s="3">
        <v>15644</v>
      </c>
      <c r="C327" s="3" t="s">
        <v>19</v>
      </c>
      <c r="D327" s="3" t="s">
        <v>57</v>
      </c>
      <c r="E327" s="3"/>
      <c r="F327" s="3" t="s">
        <v>563</v>
      </c>
    </row>
    <row r="328" spans="2:6" ht="15.75" customHeight="1">
      <c r="B328" s="3">
        <v>15645</v>
      </c>
      <c r="C328" s="3" t="s">
        <v>51</v>
      </c>
      <c r="D328" s="3" t="s">
        <v>53</v>
      </c>
      <c r="E328" s="3"/>
      <c r="F328" s="3" t="s">
        <v>565</v>
      </c>
    </row>
    <row r="329" spans="2:6" ht="15.75" customHeight="1">
      <c r="B329" s="3">
        <v>15646</v>
      </c>
      <c r="C329" s="3" t="s">
        <v>31</v>
      </c>
      <c r="D329" s="3" t="s">
        <v>46</v>
      </c>
      <c r="E329" s="3"/>
      <c r="F329" s="3" t="s">
        <v>566</v>
      </c>
    </row>
    <row r="330" spans="2:6" ht="15.75" customHeight="1">
      <c r="B330" s="3">
        <v>15647</v>
      </c>
      <c r="C330" s="3" t="s">
        <v>19</v>
      </c>
      <c r="D330" s="3" t="s">
        <v>33</v>
      </c>
      <c r="E330" s="3"/>
      <c r="F330" s="3" t="s">
        <v>567</v>
      </c>
    </row>
    <row r="331" spans="2:6" ht="15.75" customHeight="1">
      <c r="B331" s="3">
        <v>15648</v>
      </c>
      <c r="C331" s="3" t="s">
        <v>55</v>
      </c>
      <c r="D331" s="3" t="s">
        <v>53</v>
      </c>
      <c r="E331" s="3"/>
      <c r="F331" s="3" t="s">
        <v>569</v>
      </c>
    </row>
    <row r="332" spans="2:6" ht="15.75" customHeight="1">
      <c r="B332" s="3">
        <v>15649</v>
      </c>
      <c r="C332" s="3" t="s">
        <v>67</v>
      </c>
      <c r="D332" s="3" t="s">
        <v>20</v>
      </c>
      <c r="E332" s="3"/>
      <c r="F332" s="3" t="s">
        <v>570</v>
      </c>
    </row>
    <row r="333" spans="2:6" ht="15.75" customHeight="1">
      <c r="B333" s="3">
        <v>15650</v>
      </c>
      <c r="C333" s="3" t="s">
        <v>31</v>
      </c>
      <c r="D333" s="3" t="s">
        <v>20</v>
      </c>
      <c r="E333" s="3"/>
      <c r="F333" s="3" t="s">
        <v>572</v>
      </c>
    </row>
    <row r="334" spans="2:6" ht="15.75" customHeight="1">
      <c r="B334" s="3">
        <v>15651</v>
      </c>
      <c r="C334" s="3" t="s">
        <v>26</v>
      </c>
      <c r="D334" s="3" t="s">
        <v>89</v>
      </c>
      <c r="E334" s="3"/>
      <c r="F334" s="3" t="s">
        <v>573</v>
      </c>
    </row>
    <row r="335" spans="2:6" ht="15.75" customHeight="1">
      <c r="B335" s="3">
        <v>15652</v>
      </c>
      <c r="C335" s="3" t="s">
        <v>31</v>
      </c>
      <c r="D335" s="3" t="s">
        <v>89</v>
      </c>
      <c r="E335" s="3"/>
      <c r="F335" s="3" t="s">
        <v>575</v>
      </c>
    </row>
    <row r="336" spans="2:6" ht="15.75" customHeight="1">
      <c r="B336" s="3">
        <v>15653</v>
      </c>
      <c r="C336" s="3" t="s">
        <v>31</v>
      </c>
      <c r="D336" s="3" t="s">
        <v>83</v>
      </c>
      <c r="E336" s="3"/>
      <c r="F336" s="3" t="s">
        <v>576</v>
      </c>
    </row>
    <row r="337" spans="2:6" ht="15.75" customHeight="1">
      <c r="B337" s="3">
        <v>15654</v>
      </c>
      <c r="C337" s="3" t="s">
        <v>26</v>
      </c>
      <c r="D337" s="3" t="s">
        <v>33</v>
      </c>
      <c r="E337" s="3"/>
      <c r="F337" s="3" t="s">
        <v>578</v>
      </c>
    </row>
    <row r="338" spans="2:6" ht="15.75" customHeight="1">
      <c r="B338" s="3">
        <v>15655</v>
      </c>
      <c r="C338" s="3" t="s">
        <v>24</v>
      </c>
      <c r="D338" s="3" t="s">
        <v>57</v>
      </c>
      <c r="E338" s="3"/>
      <c r="F338" s="3" t="s">
        <v>579</v>
      </c>
    </row>
    <row r="339" spans="2:6" ht="15.75" customHeight="1">
      <c r="B339" s="3">
        <v>15656</v>
      </c>
      <c r="C339" s="3" t="s">
        <v>51</v>
      </c>
      <c r="D339" s="3" t="s">
        <v>75</v>
      </c>
      <c r="E339" s="3"/>
      <c r="F339" s="3" t="s">
        <v>581</v>
      </c>
    </row>
    <row r="340" spans="2:6" ht="15.75" customHeight="1">
      <c r="B340" s="3">
        <v>15657</v>
      </c>
      <c r="C340" s="3" t="s">
        <v>24</v>
      </c>
      <c r="D340" s="3" t="s">
        <v>46</v>
      </c>
      <c r="E340" s="3"/>
      <c r="F340" s="3" t="s">
        <v>582</v>
      </c>
    </row>
    <row r="341" spans="2:6" ht="15.75" customHeight="1">
      <c r="B341" s="3">
        <v>15658</v>
      </c>
      <c r="C341" s="3" t="s">
        <v>61</v>
      </c>
      <c r="D341" s="3" t="s">
        <v>75</v>
      </c>
      <c r="E341" s="3"/>
      <c r="F341" s="3" t="s">
        <v>584</v>
      </c>
    </row>
    <row r="342" spans="2:6" ht="15.75" customHeight="1">
      <c r="B342" s="3">
        <v>15659</v>
      </c>
      <c r="C342" s="3" t="s">
        <v>39</v>
      </c>
      <c r="D342" s="3" t="s">
        <v>57</v>
      </c>
      <c r="E342" s="3"/>
      <c r="F342" s="3" t="s">
        <v>585</v>
      </c>
    </row>
    <row r="343" spans="2:6" ht="15.75" customHeight="1">
      <c r="B343" s="3">
        <v>15660</v>
      </c>
      <c r="C343" s="3" t="s">
        <v>26</v>
      </c>
      <c r="D343" s="3" t="s">
        <v>75</v>
      </c>
      <c r="E343" s="3"/>
      <c r="F343" s="3" t="s">
        <v>587</v>
      </c>
    </row>
    <row r="344" spans="2:6" ht="15.75" customHeight="1">
      <c r="B344" s="3">
        <v>15661</v>
      </c>
      <c r="C344" s="3" t="s">
        <v>31</v>
      </c>
      <c r="D344" s="3" t="s">
        <v>33</v>
      </c>
      <c r="E344" s="3"/>
      <c r="F344" s="3" t="s">
        <v>588</v>
      </c>
    </row>
    <row r="345" spans="2:6" ht="15.75" customHeight="1">
      <c r="B345" s="3">
        <v>15662</v>
      </c>
      <c r="C345" s="3" t="s">
        <v>55</v>
      </c>
      <c r="D345" s="3" t="s">
        <v>46</v>
      </c>
      <c r="E345" s="3"/>
      <c r="F345" s="3" t="s">
        <v>590</v>
      </c>
    </row>
    <row r="346" spans="2:6" ht="15.75" customHeight="1">
      <c r="B346" s="3">
        <v>15663</v>
      </c>
      <c r="C346" s="3" t="s">
        <v>24</v>
      </c>
      <c r="D346" s="3" t="s">
        <v>46</v>
      </c>
      <c r="E346" s="3"/>
      <c r="F346" s="3" t="s">
        <v>591</v>
      </c>
    </row>
    <row r="347" spans="2:6" ht="15.75" customHeight="1">
      <c r="B347" s="3">
        <v>15664</v>
      </c>
      <c r="C347" s="3" t="s">
        <v>24</v>
      </c>
      <c r="D347" s="3" t="s">
        <v>28</v>
      </c>
      <c r="E347" s="3"/>
      <c r="F347" s="3" t="s">
        <v>593</v>
      </c>
    </row>
    <row r="348" spans="2:6" ht="15.75" customHeight="1">
      <c r="B348" s="3">
        <v>15665</v>
      </c>
      <c r="C348" s="3" t="s">
        <v>51</v>
      </c>
      <c r="D348" s="3" t="s">
        <v>89</v>
      </c>
      <c r="E348" s="3"/>
      <c r="F348" s="3" t="s">
        <v>595</v>
      </c>
    </row>
    <row r="349" spans="2:6" ht="15.75" customHeight="1">
      <c r="B349" s="3">
        <v>15666</v>
      </c>
      <c r="C349" s="3" t="s">
        <v>31</v>
      </c>
      <c r="D349" s="3" t="s">
        <v>53</v>
      </c>
      <c r="E349" s="3"/>
      <c r="F349" s="3" t="s">
        <v>596</v>
      </c>
    </row>
    <row r="350" spans="2:6" ht="15.75" customHeight="1">
      <c r="B350" s="3">
        <v>15667</v>
      </c>
      <c r="C350" s="3" t="s">
        <v>67</v>
      </c>
      <c r="D350" s="3" t="s">
        <v>49</v>
      </c>
      <c r="E350" s="3"/>
      <c r="F350" s="3" t="s">
        <v>598</v>
      </c>
    </row>
    <row r="351" spans="2:6" ht="15.75" customHeight="1">
      <c r="B351" s="3">
        <v>15668</v>
      </c>
      <c r="C351" s="3" t="s">
        <v>44</v>
      </c>
      <c r="D351" s="3" t="s">
        <v>75</v>
      </c>
      <c r="E351" s="3"/>
      <c r="F351" s="3" t="s">
        <v>600</v>
      </c>
    </row>
    <row r="352" spans="2:6" ht="15.75" customHeight="1">
      <c r="B352" s="3">
        <v>15669</v>
      </c>
      <c r="C352" s="3" t="s">
        <v>31</v>
      </c>
      <c r="D352" s="3" t="s">
        <v>20</v>
      </c>
      <c r="E352" s="3"/>
      <c r="F352" s="3" t="s">
        <v>601</v>
      </c>
    </row>
    <row r="353" spans="2:6" ht="15.75" customHeight="1">
      <c r="B353" s="3">
        <v>15670</v>
      </c>
      <c r="C353" s="3" t="s">
        <v>31</v>
      </c>
      <c r="D353" s="3" t="s">
        <v>83</v>
      </c>
      <c r="E353" s="3"/>
      <c r="F353" s="3" t="s">
        <v>603</v>
      </c>
    </row>
    <row r="354" spans="2:6" ht="15.75" customHeight="1">
      <c r="B354" s="3">
        <v>15671</v>
      </c>
      <c r="C354" s="3" t="s">
        <v>31</v>
      </c>
      <c r="D354" s="3" t="s">
        <v>89</v>
      </c>
      <c r="E354" s="3"/>
      <c r="F354" s="3" t="s">
        <v>604</v>
      </c>
    </row>
    <row r="355" spans="2:6" ht="15.75" customHeight="1">
      <c r="B355" s="3">
        <v>15672</v>
      </c>
      <c r="C355" s="3" t="s">
        <v>31</v>
      </c>
      <c r="D355" s="3" t="s">
        <v>28</v>
      </c>
      <c r="E355" s="3"/>
      <c r="F355" s="3" t="s">
        <v>605</v>
      </c>
    </row>
    <row r="356" spans="2:6" ht="15.75" customHeight="1">
      <c r="B356" s="3">
        <v>15673</v>
      </c>
      <c r="C356" s="3" t="s">
        <v>19</v>
      </c>
      <c r="D356" s="3" t="s">
        <v>20</v>
      </c>
      <c r="E356" s="3"/>
      <c r="F356" s="3" t="s">
        <v>607</v>
      </c>
    </row>
    <row r="357" spans="2:6" ht="15.75" customHeight="1">
      <c r="B357" s="3">
        <v>15674</v>
      </c>
      <c r="C357" s="3" t="s">
        <v>26</v>
      </c>
      <c r="D357" s="3" t="s">
        <v>83</v>
      </c>
      <c r="E357" s="3"/>
      <c r="F357" s="3" t="s">
        <v>608</v>
      </c>
    </row>
    <row r="358" spans="2:6" ht="15.75" customHeight="1">
      <c r="B358" s="3">
        <v>15675</v>
      </c>
      <c r="C358" s="3" t="s">
        <v>51</v>
      </c>
      <c r="D358" s="3" t="s">
        <v>28</v>
      </c>
      <c r="E358" s="3"/>
      <c r="F358" s="3" t="s">
        <v>610</v>
      </c>
    </row>
    <row r="359" spans="2:6" ht="15.75" customHeight="1">
      <c r="B359" s="3">
        <v>15676</v>
      </c>
      <c r="C359" s="3" t="s">
        <v>26</v>
      </c>
      <c r="D359" s="3" t="s">
        <v>33</v>
      </c>
      <c r="E359" s="3"/>
      <c r="F359" s="3" t="s">
        <v>612</v>
      </c>
    </row>
    <row r="360" spans="2:6" ht="15.75" customHeight="1">
      <c r="B360" s="3">
        <v>15677</v>
      </c>
      <c r="C360" s="3" t="s">
        <v>31</v>
      </c>
      <c r="D360" s="3" t="s">
        <v>49</v>
      </c>
      <c r="E360" s="3"/>
      <c r="F360" s="3" t="s">
        <v>614</v>
      </c>
    </row>
    <row r="361" spans="2:6" ht="15.75" customHeight="1">
      <c r="B361" s="3">
        <v>15678</v>
      </c>
      <c r="C361" s="3" t="s">
        <v>61</v>
      </c>
      <c r="D361" s="3" t="s">
        <v>46</v>
      </c>
      <c r="E361" s="3"/>
      <c r="F361" s="3" t="s">
        <v>616</v>
      </c>
    </row>
    <row r="362" spans="2:6" ht="15.75" customHeight="1">
      <c r="B362" s="3">
        <v>15679</v>
      </c>
      <c r="C362" s="3" t="s">
        <v>61</v>
      </c>
      <c r="D362" s="3" t="s">
        <v>75</v>
      </c>
      <c r="E362" s="3"/>
      <c r="F362" s="3" t="s">
        <v>617</v>
      </c>
    </row>
    <row r="363" spans="2:6" ht="15.75" customHeight="1">
      <c r="B363" s="3">
        <v>15680</v>
      </c>
      <c r="C363" s="3" t="s">
        <v>61</v>
      </c>
      <c r="D363" s="3" t="s">
        <v>83</v>
      </c>
      <c r="E363" s="3"/>
      <c r="F363" s="3" t="s">
        <v>619</v>
      </c>
    </row>
    <row r="364" spans="2:6" ht="15.75" customHeight="1">
      <c r="B364" s="3">
        <v>15681</v>
      </c>
      <c r="C364" s="3" t="s">
        <v>24</v>
      </c>
      <c r="D364" s="3" t="s">
        <v>53</v>
      </c>
      <c r="E364" s="3"/>
      <c r="F364" s="3" t="s">
        <v>621</v>
      </c>
    </row>
    <row r="365" spans="2:6" ht="15.75" customHeight="1">
      <c r="B365" s="3">
        <v>15682</v>
      </c>
      <c r="C365" s="3" t="s">
        <v>44</v>
      </c>
      <c r="D365" s="3" t="s">
        <v>83</v>
      </c>
      <c r="E365" s="3"/>
      <c r="F365" s="3" t="s">
        <v>622</v>
      </c>
    </row>
    <row r="366" spans="2:6" ht="15.75" customHeight="1">
      <c r="B366" s="3">
        <v>15683</v>
      </c>
      <c r="C366" s="3" t="s">
        <v>31</v>
      </c>
      <c r="D366" s="3" t="s">
        <v>53</v>
      </c>
      <c r="E366" s="3"/>
      <c r="F366" s="3" t="s">
        <v>624</v>
      </c>
    </row>
    <row r="367" spans="2:6" ht="15.75" customHeight="1">
      <c r="B367" s="3">
        <v>15684</v>
      </c>
      <c r="C367" s="3" t="s">
        <v>61</v>
      </c>
      <c r="D367" s="3" t="s">
        <v>49</v>
      </c>
      <c r="E367" s="3"/>
      <c r="F367" s="3" t="s">
        <v>626</v>
      </c>
    </row>
    <row r="368" spans="2:6" ht="15.75" customHeight="1">
      <c r="B368" s="3">
        <v>15685</v>
      </c>
      <c r="C368" s="3" t="s">
        <v>67</v>
      </c>
      <c r="D368" s="3" t="s">
        <v>53</v>
      </c>
      <c r="E368" s="3"/>
      <c r="F368" s="3" t="s">
        <v>627</v>
      </c>
    </row>
    <row r="369" spans="2:6" ht="15.75" customHeight="1">
      <c r="B369" s="3">
        <v>15686</v>
      </c>
      <c r="C369" s="3" t="s">
        <v>24</v>
      </c>
      <c r="D369" s="3" t="s">
        <v>28</v>
      </c>
      <c r="E369" s="3"/>
      <c r="F369" s="3" t="s">
        <v>629</v>
      </c>
    </row>
    <row r="370" spans="2:6" ht="15.75" customHeight="1">
      <c r="B370" s="3">
        <v>15687</v>
      </c>
      <c r="C370" s="3" t="s">
        <v>44</v>
      </c>
      <c r="D370" s="3" t="s">
        <v>75</v>
      </c>
      <c r="E370" s="3"/>
      <c r="F370" s="3" t="s">
        <v>630</v>
      </c>
    </row>
    <row r="371" spans="2:6" ht="15.75" customHeight="1">
      <c r="B371" s="3">
        <v>15688</v>
      </c>
      <c r="C371" s="3" t="s">
        <v>61</v>
      </c>
      <c r="D371" s="3" t="s">
        <v>46</v>
      </c>
      <c r="E371" s="3"/>
      <c r="F371" s="3" t="s">
        <v>632</v>
      </c>
    </row>
    <row r="372" spans="2:6" ht="15.75" customHeight="1">
      <c r="B372" s="3">
        <v>15689</v>
      </c>
      <c r="C372" s="3" t="s">
        <v>19</v>
      </c>
      <c r="D372" s="3" t="s">
        <v>46</v>
      </c>
      <c r="E372" s="3"/>
      <c r="F372" s="3" t="s">
        <v>633</v>
      </c>
    </row>
    <row r="373" spans="2:6" ht="15.75" customHeight="1">
      <c r="B373" s="3">
        <v>15690</v>
      </c>
      <c r="C373" s="3" t="s">
        <v>19</v>
      </c>
      <c r="D373" s="3" t="s">
        <v>57</v>
      </c>
      <c r="E373" s="3"/>
      <c r="F373" s="3" t="s">
        <v>635</v>
      </c>
    </row>
    <row r="374" spans="2:6" ht="15.75" customHeight="1">
      <c r="B374" s="3">
        <v>15691</v>
      </c>
      <c r="C374" s="3" t="s">
        <v>31</v>
      </c>
      <c r="D374" s="3" t="s">
        <v>57</v>
      </c>
      <c r="E374" s="3"/>
      <c r="F374" s="3" t="s">
        <v>636</v>
      </c>
    </row>
    <row r="375" spans="2:6" ht="15.75" customHeight="1">
      <c r="B375" s="3">
        <v>15692</v>
      </c>
      <c r="C375" s="3" t="s">
        <v>55</v>
      </c>
      <c r="D375" s="3" t="s">
        <v>33</v>
      </c>
      <c r="E375" s="3"/>
      <c r="F375" s="3" t="s">
        <v>638</v>
      </c>
    </row>
    <row r="376" spans="2:6" ht="15.75" customHeight="1">
      <c r="B376" s="3">
        <v>15693</v>
      </c>
      <c r="C376" s="3" t="s">
        <v>67</v>
      </c>
      <c r="D376" s="3" t="s">
        <v>28</v>
      </c>
      <c r="E376" s="3"/>
      <c r="F376" s="3" t="s">
        <v>639</v>
      </c>
    </row>
    <row r="377" spans="2:6" ht="15.75" customHeight="1">
      <c r="B377" s="3">
        <v>15694</v>
      </c>
      <c r="C377" s="3" t="s">
        <v>67</v>
      </c>
      <c r="D377" s="3" t="s">
        <v>33</v>
      </c>
      <c r="E377" s="3"/>
      <c r="F377" s="3" t="s">
        <v>641</v>
      </c>
    </row>
    <row r="378" spans="2:6" ht="15.75" customHeight="1">
      <c r="B378" s="3">
        <v>15695</v>
      </c>
      <c r="C378" s="3" t="s">
        <v>44</v>
      </c>
      <c r="D378" s="3" t="s">
        <v>20</v>
      </c>
      <c r="E378" s="3"/>
      <c r="F378" s="3" t="s">
        <v>642</v>
      </c>
    </row>
    <row r="379" spans="2:6" ht="15.75" customHeight="1">
      <c r="B379" s="3">
        <v>15696</v>
      </c>
      <c r="C379" s="3" t="s">
        <v>39</v>
      </c>
      <c r="D379" s="3" t="s">
        <v>46</v>
      </c>
      <c r="E379" s="3"/>
      <c r="F379" s="3" t="s">
        <v>644</v>
      </c>
    </row>
    <row r="380" spans="2:6" ht="15.75" customHeight="1">
      <c r="B380" s="3">
        <v>15697</v>
      </c>
      <c r="C380" s="3" t="s">
        <v>61</v>
      </c>
      <c r="D380" s="3" t="s">
        <v>89</v>
      </c>
      <c r="E380" s="3"/>
      <c r="F380" s="3" t="s">
        <v>645</v>
      </c>
    </row>
    <row r="381" spans="2:6" ht="15.75" customHeight="1">
      <c r="B381" s="3">
        <v>15698</v>
      </c>
      <c r="C381" s="3" t="s">
        <v>44</v>
      </c>
      <c r="D381" s="3" t="s">
        <v>28</v>
      </c>
      <c r="E381" s="3"/>
      <c r="F381" s="3" t="s">
        <v>649</v>
      </c>
    </row>
    <row r="382" spans="2:6" ht="15.75" customHeight="1">
      <c r="B382" s="3">
        <v>15699</v>
      </c>
      <c r="C382" s="3" t="s">
        <v>67</v>
      </c>
      <c r="D382" s="3" t="s">
        <v>46</v>
      </c>
      <c r="E382" s="3"/>
      <c r="F382" s="3" t="s">
        <v>651</v>
      </c>
    </row>
    <row r="383" spans="2:6" ht="15.75" customHeight="1">
      <c r="B383" s="3">
        <v>15700</v>
      </c>
      <c r="C383" s="3" t="s">
        <v>61</v>
      </c>
      <c r="D383" s="3" t="s">
        <v>53</v>
      </c>
      <c r="E383" s="3"/>
      <c r="F383" s="3" t="s">
        <v>653</v>
      </c>
    </row>
    <row r="384" spans="2:6" ht="15.75" customHeight="1">
      <c r="B384" s="3">
        <v>15701</v>
      </c>
      <c r="C384" s="3" t="s">
        <v>31</v>
      </c>
      <c r="D384" s="3" t="s">
        <v>53</v>
      </c>
      <c r="E384" s="3"/>
      <c r="F384" s="3" t="s">
        <v>655</v>
      </c>
    </row>
    <row r="385" spans="2:6" ht="15.75" customHeight="1">
      <c r="B385" s="3">
        <v>15702</v>
      </c>
      <c r="C385" s="3" t="s">
        <v>55</v>
      </c>
      <c r="D385" s="3" t="s">
        <v>83</v>
      </c>
      <c r="E385" s="3"/>
      <c r="F385" s="3" t="s">
        <v>657</v>
      </c>
    </row>
    <row r="386" spans="2:6" ht="15.75" customHeight="1">
      <c r="B386" s="3">
        <v>15703</v>
      </c>
      <c r="C386" s="3" t="s">
        <v>51</v>
      </c>
      <c r="D386" s="3" t="s">
        <v>20</v>
      </c>
      <c r="E386" s="3"/>
      <c r="F386" s="3" t="s">
        <v>659</v>
      </c>
    </row>
    <row r="387" spans="2:6" ht="15.75" customHeight="1">
      <c r="B387" s="3">
        <v>15704</v>
      </c>
      <c r="C387" s="3" t="s">
        <v>39</v>
      </c>
      <c r="D387" s="3" t="s">
        <v>57</v>
      </c>
      <c r="E387" s="3"/>
      <c r="F387" s="3" t="s">
        <v>660</v>
      </c>
    </row>
    <row r="388" spans="2:6" ht="15.75" customHeight="1">
      <c r="B388" s="3">
        <v>15705</v>
      </c>
      <c r="C388" s="3" t="s">
        <v>24</v>
      </c>
      <c r="D388" s="3" t="s">
        <v>46</v>
      </c>
      <c r="E388" s="3"/>
      <c r="F388" s="3" t="s">
        <v>662</v>
      </c>
    </row>
    <row r="389" spans="2:6" ht="15.75" customHeight="1">
      <c r="B389" s="3">
        <v>15706</v>
      </c>
      <c r="C389" s="3" t="s">
        <v>67</v>
      </c>
      <c r="D389" s="3" t="s">
        <v>89</v>
      </c>
      <c r="E389" s="3"/>
      <c r="F389" s="3" t="s">
        <v>664</v>
      </c>
    </row>
    <row r="390" spans="2:6" ht="15.75" customHeight="1">
      <c r="B390" s="3">
        <v>15707</v>
      </c>
      <c r="C390" s="3" t="s">
        <v>19</v>
      </c>
      <c r="D390" s="3" t="s">
        <v>46</v>
      </c>
      <c r="E390" s="3"/>
      <c r="F390" s="3" t="s">
        <v>665</v>
      </c>
    </row>
    <row r="391" spans="2:6" ht="15.75" customHeight="1">
      <c r="B391" s="3">
        <v>15708</v>
      </c>
      <c r="C391" s="3" t="s">
        <v>19</v>
      </c>
      <c r="D391" s="3" t="s">
        <v>75</v>
      </c>
      <c r="E391" s="3"/>
      <c r="F391" s="3" t="s">
        <v>667</v>
      </c>
    </row>
    <row r="392" spans="2:6" ht="15.75" customHeight="1">
      <c r="B392" s="3">
        <v>15709</v>
      </c>
      <c r="C392" s="3" t="s">
        <v>31</v>
      </c>
      <c r="D392" s="3" t="s">
        <v>57</v>
      </c>
      <c r="E392" s="3"/>
      <c r="F392" s="3" t="s">
        <v>669</v>
      </c>
    </row>
    <row r="393" spans="2:6" ht="15.75" customHeight="1">
      <c r="B393" s="3">
        <v>15710</v>
      </c>
      <c r="C393" s="3" t="s">
        <v>61</v>
      </c>
      <c r="D393" s="3" t="s">
        <v>49</v>
      </c>
      <c r="E393" s="3"/>
      <c r="F393" s="3" t="s">
        <v>670</v>
      </c>
    </row>
    <row r="394" spans="2:6" ht="15.75" customHeight="1">
      <c r="B394" s="3">
        <v>15711</v>
      </c>
      <c r="C394" s="3" t="s">
        <v>55</v>
      </c>
      <c r="D394" s="3" t="s">
        <v>20</v>
      </c>
      <c r="E394" s="3"/>
      <c r="F394" s="3" t="s">
        <v>672</v>
      </c>
    </row>
    <row r="395" spans="2:6" ht="15.75" customHeight="1">
      <c r="B395" s="3">
        <v>15712</v>
      </c>
      <c r="C395" s="3" t="s">
        <v>55</v>
      </c>
      <c r="D395" s="3" t="s">
        <v>33</v>
      </c>
      <c r="E395" s="3"/>
      <c r="F395" s="3" t="s">
        <v>674</v>
      </c>
    </row>
    <row r="396" spans="2:6" ht="15.75" customHeight="1">
      <c r="B396" s="3">
        <v>15713</v>
      </c>
      <c r="C396" s="3" t="s">
        <v>26</v>
      </c>
      <c r="D396" s="3" t="s">
        <v>33</v>
      </c>
      <c r="E396" s="3"/>
      <c r="F396" s="3" t="s">
        <v>675</v>
      </c>
    </row>
    <row r="397" spans="2:6" ht="15.75" customHeight="1">
      <c r="B397" s="3">
        <v>15714</v>
      </c>
      <c r="C397" s="3" t="s">
        <v>31</v>
      </c>
      <c r="D397" s="3" t="s">
        <v>53</v>
      </c>
      <c r="E397" s="3"/>
      <c r="F397" s="3" t="s">
        <v>677</v>
      </c>
    </row>
    <row r="398" spans="2:6" ht="15.75" customHeight="1">
      <c r="B398" s="3">
        <v>15715</v>
      </c>
      <c r="C398" s="3" t="s">
        <v>24</v>
      </c>
      <c r="D398" s="3" t="s">
        <v>53</v>
      </c>
      <c r="E398" s="3"/>
      <c r="F398" s="3" t="s">
        <v>678</v>
      </c>
    </row>
    <row r="399" spans="2:6" ht="15.75" customHeight="1">
      <c r="B399" s="3">
        <v>15716</v>
      </c>
      <c r="C399" s="3" t="s">
        <v>61</v>
      </c>
      <c r="D399" s="3" t="s">
        <v>28</v>
      </c>
      <c r="E399" s="3"/>
      <c r="F399" s="3" t="s">
        <v>680</v>
      </c>
    </row>
    <row r="400" spans="2:6" ht="15.75" customHeight="1">
      <c r="B400" s="3">
        <v>15717</v>
      </c>
      <c r="C400" s="3" t="s">
        <v>19</v>
      </c>
      <c r="D400" s="3" t="s">
        <v>49</v>
      </c>
      <c r="E400" s="3"/>
      <c r="F400" s="3" t="s">
        <v>681</v>
      </c>
    </row>
    <row r="401" spans="2:6" ht="15.75" customHeight="1">
      <c r="B401" s="3">
        <v>15718</v>
      </c>
      <c r="C401" s="3" t="s">
        <v>51</v>
      </c>
      <c r="D401" s="3" t="s">
        <v>57</v>
      </c>
      <c r="E401" s="3"/>
      <c r="F401" s="3" t="s">
        <v>683</v>
      </c>
    </row>
    <row r="402" spans="2:6" ht="15.75" customHeight="1">
      <c r="B402" s="3">
        <v>15719</v>
      </c>
      <c r="C402" s="3" t="s">
        <v>19</v>
      </c>
      <c r="D402" s="3" t="s">
        <v>28</v>
      </c>
      <c r="E402" s="3"/>
      <c r="F402" s="3" t="s">
        <v>684</v>
      </c>
    </row>
    <row r="403" spans="2:6" ht="15.75" customHeight="1">
      <c r="B403" s="3">
        <v>15720</v>
      </c>
      <c r="C403" s="3" t="s">
        <v>51</v>
      </c>
      <c r="D403" s="3" t="s">
        <v>57</v>
      </c>
      <c r="E403" s="3"/>
      <c r="F403" s="3" t="s">
        <v>686</v>
      </c>
    </row>
    <row r="404" spans="2:6" ht="15.75" customHeight="1">
      <c r="B404" s="3">
        <v>15721</v>
      </c>
      <c r="C404" s="3" t="s">
        <v>26</v>
      </c>
      <c r="D404" s="3" t="s">
        <v>46</v>
      </c>
      <c r="E404" s="3"/>
      <c r="F404" s="3" t="s">
        <v>687</v>
      </c>
    </row>
    <row r="405" spans="2:6" ht="15.75" customHeight="1">
      <c r="B405" s="3">
        <v>15722</v>
      </c>
      <c r="C405" s="3" t="s">
        <v>61</v>
      </c>
      <c r="D405" s="3" t="s">
        <v>28</v>
      </c>
      <c r="E405" s="3"/>
      <c r="F405" s="3" t="s">
        <v>689</v>
      </c>
    </row>
    <row r="406" spans="2:6" ht="15.75" customHeight="1">
      <c r="B406" s="3">
        <v>15723</v>
      </c>
      <c r="C406" s="3" t="s">
        <v>44</v>
      </c>
      <c r="D406" s="3" t="s">
        <v>33</v>
      </c>
      <c r="E406" s="3"/>
      <c r="F406" s="3" t="s">
        <v>691</v>
      </c>
    </row>
    <row r="407" spans="2:6" ht="15.75" customHeight="1">
      <c r="B407" s="3">
        <v>15724</v>
      </c>
      <c r="C407" s="3" t="s">
        <v>19</v>
      </c>
      <c r="D407" s="3" t="s">
        <v>49</v>
      </c>
      <c r="E407" s="3"/>
      <c r="F407" s="3" t="s">
        <v>692</v>
      </c>
    </row>
    <row r="408" spans="2:6" ht="15.75" customHeight="1">
      <c r="B408" s="3">
        <v>15725</v>
      </c>
      <c r="C408" s="3" t="s">
        <v>19</v>
      </c>
      <c r="D408" s="3" t="s">
        <v>20</v>
      </c>
      <c r="E408" s="3"/>
      <c r="F408" s="3" t="s">
        <v>694</v>
      </c>
    </row>
    <row r="409" spans="2:6" ht="15.75" customHeight="1">
      <c r="B409" s="3">
        <v>15726</v>
      </c>
      <c r="C409" s="3" t="s">
        <v>39</v>
      </c>
      <c r="D409" s="3" t="s">
        <v>28</v>
      </c>
      <c r="E409" s="3"/>
      <c r="F409" s="3" t="s">
        <v>695</v>
      </c>
    </row>
    <row r="410" spans="2:6" ht="15.75" customHeight="1">
      <c r="B410" s="3">
        <v>15727</v>
      </c>
      <c r="C410" s="3" t="s">
        <v>51</v>
      </c>
      <c r="D410" s="3" t="s">
        <v>89</v>
      </c>
      <c r="E410" s="3"/>
      <c r="F410" s="3" t="s">
        <v>697</v>
      </c>
    </row>
    <row r="411" spans="2:6" ht="15.75" customHeight="1">
      <c r="B411" s="3">
        <v>15728</v>
      </c>
      <c r="C411" s="3" t="s">
        <v>24</v>
      </c>
      <c r="D411" s="3" t="s">
        <v>57</v>
      </c>
      <c r="E411" s="3"/>
      <c r="F411" s="3" t="s">
        <v>698</v>
      </c>
    </row>
    <row r="412" spans="2:6" ht="15.75" customHeight="1">
      <c r="B412" s="3">
        <v>15729</v>
      </c>
      <c r="C412" s="3" t="s">
        <v>55</v>
      </c>
      <c r="D412" s="3" t="s">
        <v>83</v>
      </c>
      <c r="E412" s="3"/>
      <c r="F412" s="3" t="s">
        <v>700</v>
      </c>
    </row>
    <row r="413" spans="2:6" ht="15.75" customHeight="1">
      <c r="B413" s="3">
        <v>15730</v>
      </c>
      <c r="C413" s="3" t="s">
        <v>67</v>
      </c>
      <c r="D413" s="3" t="s">
        <v>33</v>
      </c>
      <c r="E413" s="3"/>
      <c r="F413" s="3" t="s">
        <v>702</v>
      </c>
    </row>
    <row r="414" spans="2:6" ht="15.75" customHeight="1">
      <c r="B414" s="3">
        <v>15731</v>
      </c>
      <c r="C414" s="3" t="s">
        <v>31</v>
      </c>
      <c r="D414" s="3" t="s">
        <v>57</v>
      </c>
      <c r="E414" s="3"/>
      <c r="F414" s="3" t="s">
        <v>703</v>
      </c>
    </row>
    <row r="415" spans="2:6" ht="15.75" customHeight="1">
      <c r="B415" s="3">
        <v>15732</v>
      </c>
      <c r="C415" s="3" t="s">
        <v>55</v>
      </c>
      <c r="D415" s="3" t="s">
        <v>33</v>
      </c>
      <c r="E415" s="3"/>
      <c r="F415" s="3" t="s">
        <v>705</v>
      </c>
    </row>
    <row r="416" spans="2:6" ht="15.75" customHeight="1">
      <c r="B416" s="3">
        <v>15733</v>
      </c>
      <c r="C416" s="3" t="s">
        <v>55</v>
      </c>
      <c r="D416" s="3" t="s">
        <v>89</v>
      </c>
      <c r="E416" s="3"/>
      <c r="F416" s="3" t="s">
        <v>706</v>
      </c>
    </row>
    <row r="417" spans="2:6" ht="15.75" customHeight="1">
      <c r="B417" s="3">
        <v>15734</v>
      </c>
      <c r="C417" s="3" t="s">
        <v>19</v>
      </c>
      <c r="D417" s="3" t="s">
        <v>57</v>
      </c>
      <c r="E417" s="3"/>
      <c r="F417" s="3" t="s">
        <v>708</v>
      </c>
    </row>
    <row r="418" spans="2:6" ht="15.75" customHeight="1">
      <c r="B418" s="3">
        <v>15735</v>
      </c>
      <c r="C418" s="3" t="s">
        <v>67</v>
      </c>
      <c r="D418" s="3" t="s">
        <v>83</v>
      </c>
      <c r="E418" s="3"/>
      <c r="F418" s="3" t="s">
        <v>709</v>
      </c>
    </row>
    <row r="419" spans="2:6" ht="15.75" customHeight="1">
      <c r="B419" s="3">
        <v>15736</v>
      </c>
      <c r="C419" s="3" t="s">
        <v>44</v>
      </c>
      <c r="D419" s="3" t="s">
        <v>89</v>
      </c>
      <c r="E419" s="3"/>
      <c r="F419" s="3" t="s">
        <v>711</v>
      </c>
    </row>
    <row r="420" spans="2:6" ht="15.75" customHeight="1">
      <c r="B420" s="3">
        <v>15737</v>
      </c>
      <c r="C420" s="3" t="s">
        <v>26</v>
      </c>
      <c r="D420" s="3" t="s">
        <v>53</v>
      </c>
      <c r="E420" s="3"/>
      <c r="F420" s="3" t="s">
        <v>712</v>
      </c>
    </row>
    <row r="421" spans="2:6" ht="15.75" customHeight="1">
      <c r="B421" s="3">
        <v>15738</v>
      </c>
      <c r="C421" s="3" t="s">
        <v>61</v>
      </c>
      <c r="D421" s="3" t="s">
        <v>75</v>
      </c>
      <c r="E421" s="3"/>
      <c r="F421" s="3" t="s">
        <v>714</v>
      </c>
    </row>
    <row r="422" spans="2:6" ht="15.75" customHeight="1">
      <c r="B422" s="3">
        <v>15739</v>
      </c>
      <c r="C422" s="3" t="s">
        <v>19</v>
      </c>
      <c r="D422" s="3" t="s">
        <v>33</v>
      </c>
      <c r="E422" s="3"/>
      <c r="F422" s="3" t="s">
        <v>715</v>
      </c>
    </row>
    <row r="423" spans="2:6" ht="15.75" customHeight="1">
      <c r="B423" s="3">
        <v>15740</v>
      </c>
      <c r="C423" s="3" t="s">
        <v>44</v>
      </c>
      <c r="D423" s="3" t="s">
        <v>89</v>
      </c>
      <c r="E423" s="3"/>
      <c r="F423" s="3" t="s">
        <v>717</v>
      </c>
    </row>
    <row r="424" spans="2:6" ht="15.75" customHeight="1">
      <c r="B424" s="3">
        <v>15741</v>
      </c>
      <c r="C424" s="3" t="s">
        <v>26</v>
      </c>
      <c r="D424" s="3" t="s">
        <v>46</v>
      </c>
      <c r="E424" s="3"/>
      <c r="F424" s="3" t="s">
        <v>718</v>
      </c>
    </row>
    <row r="425" spans="2:6" ht="15.75" customHeight="1">
      <c r="B425" s="3">
        <v>15742</v>
      </c>
      <c r="C425" s="3" t="s">
        <v>55</v>
      </c>
      <c r="D425" s="3" t="s">
        <v>89</v>
      </c>
      <c r="E425" s="3"/>
      <c r="F425" s="3" t="s">
        <v>720</v>
      </c>
    </row>
    <row r="426" spans="2:6" ht="15.75" customHeight="1">
      <c r="B426" s="3">
        <v>15743</v>
      </c>
      <c r="C426" s="3" t="s">
        <v>19</v>
      </c>
      <c r="D426" s="3" t="s">
        <v>57</v>
      </c>
      <c r="E426" s="3"/>
      <c r="F426" s="3" t="s">
        <v>722</v>
      </c>
    </row>
    <row r="427" spans="2:6" ht="15.75" customHeight="1">
      <c r="B427" s="3">
        <v>15744</v>
      </c>
      <c r="C427" s="3" t="s">
        <v>51</v>
      </c>
      <c r="D427" s="3" t="s">
        <v>57</v>
      </c>
      <c r="E427" s="3"/>
      <c r="F427" s="3" t="s">
        <v>723</v>
      </c>
    </row>
    <row r="428" spans="2:6" ht="15.75" customHeight="1">
      <c r="B428" s="3">
        <v>15745</v>
      </c>
      <c r="C428" s="3" t="s">
        <v>51</v>
      </c>
      <c r="D428" s="3" t="s">
        <v>49</v>
      </c>
      <c r="E428" s="3"/>
      <c r="F428" s="3" t="s">
        <v>725</v>
      </c>
    </row>
    <row r="429" spans="2:6" ht="15.75" customHeight="1">
      <c r="B429" s="3">
        <v>15746</v>
      </c>
      <c r="C429" s="3" t="s">
        <v>67</v>
      </c>
      <c r="D429" s="3" t="s">
        <v>57</v>
      </c>
      <c r="E429" s="3"/>
      <c r="F429" s="3" t="s">
        <v>726</v>
      </c>
    </row>
    <row r="430" spans="2:6" ht="15.75" customHeight="1">
      <c r="B430" s="3">
        <v>15747</v>
      </c>
      <c r="C430" s="3" t="s">
        <v>61</v>
      </c>
      <c r="D430" s="3" t="s">
        <v>33</v>
      </c>
      <c r="E430" s="3"/>
      <c r="F430" s="3" t="s">
        <v>728</v>
      </c>
    </row>
    <row r="431" spans="2:6" ht="15.75" customHeight="1">
      <c r="B431" s="3">
        <v>15748</v>
      </c>
      <c r="C431" s="3" t="s">
        <v>55</v>
      </c>
      <c r="D431" s="3" t="s">
        <v>46</v>
      </c>
      <c r="E431" s="3"/>
      <c r="F431" s="3" t="s">
        <v>729</v>
      </c>
    </row>
    <row r="432" spans="2:6" ht="15.75" customHeight="1">
      <c r="B432" s="3">
        <v>15749</v>
      </c>
      <c r="C432" s="3" t="s">
        <v>55</v>
      </c>
      <c r="D432" s="3" t="s">
        <v>33</v>
      </c>
      <c r="E432" s="3"/>
      <c r="F432" s="3" t="s">
        <v>731</v>
      </c>
    </row>
    <row r="433" spans="2:6" ht="15.75" customHeight="1">
      <c r="B433" s="3">
        <v>15750</v>
      </c>
      <c r="C433" s="3" t="s">
        <v>19</v>
      </c>
      <c r="D433" s="3" t="s">
        <v>83</v>
      </c>
      <c r="E433" s="3"/>
      <c r="F433" s="3" t="s">
        <v>732</v>
      </c>
    </row>
    <row r="434" spans="2:6" ht="15.75" customHeight="1">
      <c r="B434" s="3">
        <v>15751</v>
      </c>
      <c r="C434" s="3" t="s">
        <v>67</v>
      </c>
      <c r="D434" s="3" t="s">
        <v>49</v>
      </c>
      <c r="E434" s="3"/>
      <c r="F434" s="3" t="s">
        <v>734</v>
      </c>
    </row>
    <row r="435" spans="2:6" ht="15.75" customHeight="1">
      <c r="B435" s="3">
        <v>15752</v>
      </c>
      <c r="C435" s="3" t="s">
        <v>55</v>
      </c>
      <c r="D435" s="3" t="s">
        <v>75</v>
      </c>
      <c r="E435" s="3"/>
      <c r="F435" s="3" t="s">
        <v>735</v>
      </c>
    </row>
    <row r="436" spans="2:6" ht="15.75" customHeight="1">
      <c r="B436" s="3">
        <v>15753</v>
      </c>
      <c r="C436" s="3" t="s">
        <v>55</v>
      </c>
      <c r="D436" s="3" t="s">
        <v>53</v>
      </c>
      <c r="E436" s="3"/>
      <c r="F436" s="3" t="s">
        <v>737</v>
      </c>
    </row>
    <row r="437" spans="2:6" ht="15.75" customHeight="1">
      <c r="B437" s="3">
        <v>15754</v>
      </c>
      <c r="C437" s="3" t="s">
        <v>39</v>
      </c>
      <c r="D437" s="3" t="s">
        <v>28</v>
      </c>
      <c r="E437" s="3"/>
      <c r="F437" s="3" t="s">
        <v>738</v>
      </c>
    </row>
    <row r="438" spans="2:6" ht="15.75" customHeight="1">
      <c r="B438" s="3">
        <v>15755</v>
      </c>
      <c r="C438" s="3" t="s">
        <v>26</v>
      </c>
      <c r="D438" s="3" t="s">
        <v>20</v>
      </c>
      <c r="E438" s="3"/>
      <c r="F438" s="3" t="s">
        <v>740</v>
      </c>
    </row>
    <row r="439" spans="2:6" ht="15.75" customHeight="1">
      <c r="B439" s="3">
        <v>15756</v>
      </c>
      <c r="C439" s="3" t="s">
        <v>55</v>
      </c>
      <c r="D439" s="3" t="s">
        <v>49</v>
      </c>
      <c r="E439" s="3"/>
      <c r="F439" s="3" t="s">
        <v>741</v>
      </c>
    </row>
    <row r="440" spans="2:6" ht="15.75" customHeight="1">
      <c r="B440" s="3">
        <v>15757</v>
      </c>
      <c r="C440" s="3" t="s">
        <v>26</v>
      </c>
      <c r="D440" s="3" t="s">
        <v>57</v>
      </c>
      <c r="E440" s="3"/>
      <c r="F440" s="3" t="s">
        <v>743</v>
      </c>
    </row>
    <row r="441" spans="2:6" ht="15.75" customHeight="1">
      <c r="B441" s="3">
        <v>15758</v>
      </c>
      <c r="C441" s="3" t="s">
        <v>61</v>
      </c>
      <c r="D441" s="3" t="s">
        <v>83</v>
      </c>
      <c r="E441" s="3"/>
      <c r="F441" s="3" t="s">
        <v>745</v>
      </c>
    </row>
    <row r="442" spans="2:6" ht="15.75" customHeight="1">
      <c r="B442" s="3">
        <v>15759</v>
      </c>
      <c r="C442" s="3" t="s">
        <v>31</v>
      </c>
      <c r="D442" s="3" t="s">
        <v>57</v>
      </c>
      <c r="E442" s="3"/>
      <c r="F442" s="3" t="s">
        <v>747</v>
      </c>
    </row>
    <row r="443" spans="2:6" ht="15.75" customHeight="1">
      <c r="B443" s="3">
        <v>15760</v>
      </c>
      <c r="C443" s="3" t="s">
        <v>51</v>
      </c>
      <c r="D443" s="3" t="s">
        <v>83</v>
      </c>
      <c r="E443" s="3"/>
      <c r="F443" s="3" t="s">
        <v>748</v>
      </c>
    </row>
    <row r="444" spans="2:6" ht="15.75" customHeight="1">
      <c r="B444" s="3">
        <v>15761</v>
      </c>
      <c r="C444" s="3" t="s">
        <v>61</v>
      </c>
      <c r="D444" s="3" t="s">
        <v>20</v>
      </c>
      <c r="E444" s="3"/>
      <c r="F444" s="3" t="s">
        <v>750</v>
      </c>
    </row>
    <row r="445" spans="2:6" ht="15.75" customHeight="1">
      <c r="B445" s="3">
        <v>15762</v>
      </c>
      <c r="C445" s="3" t="s">
        <v>55</v>
      </c>
      <c r="D445" s="3" t="s">
        <v>53</v>
      </c>
      <c r="E445" s="3"/>
      <c r="F445" s="3" t="s">
        <v>751</v>
      </c>
    </row>
    <row r="446" spans="2:6" ht="15.75" customHeight="1">
      <c r="B446" s="3">
        <v>15763</v>
      </c>
      <c r="C446" s="3" t="s">
        <v>31</v>
      </c>
      <c r="D446" s="3" t="s">
        <v>28</v>
      </c>
      <c r="E446" s="3"/>
      <c r="F446" s="3" t="s">
        <v>753</v>
      </c>
    </row>
    <row r="447" spans="2:6" ht="15.75" customHeight="1">
      <c r="B447" s="3">
        <v>15764</v>
      </c>
      <c r="C447" s="3" t="s">
        <v>61</v>
      </c>
      <c r="D447" s="3" t="s">
        <v>46</v>
      </c>
      <c r="E447" s="3"/>
      <c r="F447" s="3" t="s">
        <v>755</v>
      </c>
    </row>
    <row r="448" spans="2:6" ht="15.75" customHeight="1">
      <c r="B448" s="3">
        <v>15765</v>
      </c>
      <c r="C448" s="3" t="s">
        <v>44</v>
      </c>
      <c r="D448" s="3" t="s">
        <v>83</v>
      </c>
      <c r="E448" s="3"/>
      <c r="F448" s="3" t="s">
        <v>756</v>
      </c>
    </row>
    <row r="449" spans="2:6" ht="15.75" customHeight="1">
      <c r="B449" s="3">
        <v>15766</v>
      </c>
      <c r="C449" s="3" t="s">
        <v>51</v>
      </c>
      <c r="D449" s="3" t="s">
        <v>75</v>
      </c>
      <c r="E449" s="3"/>
      <c r="F449" s="3" t="s">
        <v>758</v>
      </c>
    </row>
    <row r="450" spans="2:6" ht="15.75" customHeight="1">
      <c r="B450" s="3">
        <v>15767</v>
      </c>
      <c r="C450" s="3" t="s">
        <v>26</v>
      </c>
      <c r="D450" s="3" t="s">
        <v>46</v>
      </c>
      <c r="E450" s="3"/>
      <c r="F450" s="3" t="s">
        <v>760</v>
      </c>
    </row>
    <row r="451" spans="2:6" ht="15.75" customHeight="1">
      <c r="B451" s="3">
        <v>15768</v>
      </c>
      <c r="C451" s="3" t="s">
        <v>51</v>
      </c>
      <c r="D451" s="3" t="s">
        <v>28</v>
      </c>
      <c r="E451" s="3"/>
      <c r="F451" s="3" t="s">
        <v>762</v>
      </c>
    </row>
    <row r="452" spans="2:6" ht="15.75" customHeight="1">
      <c r="B452" s="3">
        <v>15769</v>
      </c>
      <c r="C452" s="3" t="s">
        <v>26</v>
      </c>
      <c r="D452" s="3" t="s">
        <v>75</v>
      </c>
      <c r="E452" s="3"/>
      <c r="F452" s="3" t="s">
        <v>764</v>
      </c>
    </row>
    <row r="453" spans="2:6" ht="15.75" customHeight="1">
      <c r="B453" s="3">
        <v>15770</v>
      </c>
      <c r="C453" s="3" t="s">
        <v>55</v>
      </c>
      <c r="D453" s="3" t="s">
        <v>83</v>
      </c>
      <c r="E453" s="3"/>
      <c r="F453" s="3" t="s">
        <v>765</v>
      </c>
    </row>
    <row r="454" spans="2:6" ht="15.75" customHeight="1">
      <c r="B454" s="3">
        <v>15771</v>
      </c>
      <c r="C454" s="3" t="s">
        <v>31</v>
      </c>
      <c r="D454" s="3" t="s">
        <v>83</v>
      </c>
      <c r="E454" s="3"/>
      <c r="F454" s="3" t="s">
        <v>767</v>
      </c>
    </row>
    <row r="455" spans="2:6" ht="15.75" customHeight="1">
      <c r="B455" s="3">
        <v>15772</v>
      </c>
      <c r="C455" s="3" t="s">
        <v>39</v>
      </c>
      <c r="D455" s="3" t="s">
        <v>89</v>
      </c>
      <c r="E455" s="3"/>
      <c r="F455" s="3" t="s">
        <v>769</v>
      </c>
    </row>
    <row r="456" spans="2:6" ht="15.75" customHeight="1">
      <c r="B456" s="3">
        <v>15773</v>
      </c>
      <c r="C456" s="3" t="s">
        <v>19</v>
      </c>
      <c r="D456" s="3" t="s">
        <v>75</v>
      </c>
      <c r="E456" s="3"/>
      <c r="F456" s="3" t="s">
        <v>771</v>
      </c>
    </row>
    <row r="457" spans="2:6" ht="15.75" customHeight="1">
      <c r="B457" s="3">
        <v>15774</v>
      </c>
      <c r="C457" s="3" t="s">
        <v>31</v>
      </c>
      <c r="D457" s="3" t="s">
        <v>53</v>
      </c>
      <c r="E457" s="3"/>
      <c r="F457" s="3" t="s">
        <v>772</v>
      </c>
    </row>
    <row r="458" spans="2:6" ht="15.75" customHeight="1">
      <c r="B458" s="3">
        <v>15775</v>
      </c>
      <c r="C458" s="3" t="s">
        <v>61</v>
      </c>
      <c r="D458" s="3" t="s">
        <v>46</v>
      </c>
      <c r="E458" s="3"/>
      <c r="F458" s="3" t="s">
        <v>774</v>
      </c>
    </row>
    <row r="459" spans="2:6" ht="15.75" customHeight="1">
      <c r="B459" s="3">
        <v>15776</v>
      </c>
      <c r="C459" s="3" t="s">
        <v>26</v>
      </c>
      <c r="D459" s="3" t="s">
        <v>89</v>
      </c>
      <c r="E459" s="3"/>
      <c r="F459" s="3" t="s">
        <v>776</v>
      </c>
    </row>
    <row r="460" spans="2:6" ht="15.75" customHeight="1">
      <c r="B460" s="3">
        <v>15777</v>
      </c>
      <c r="C460" s="3" t="s">
        <v>31</v>
      </c>
      <c r="D460" s="3" t="s">
        <v>49</v>
      </c>
      <c r="E460" s="3"/>
      <c r="F460" s="3" t="s">
        <v>778</v>
      </c>
    </row>
    <row r="461" spans="2:6" ht="15.75" customHeight="1">
      <c r="B461" s="3">
        <v>15778</v>
      </c>
      <c r="C461" s="3" t="s">
        <v>24</v>
      </c>
      <c r="D461" s="3" t="s">
        <v>28</v>
      </c>
      <c r="E461" s="3"/>
      <c r="F461" s="3" t="s">
        <v>779</v>
      </c>
    </row>
    <row r="462" spans="2:6" ht="15.75" customHeight="1">
      <c r="B462" s="3">
        <v>15779</v>
      </c>
      <c r="C462" s="3" t="s">
        <v>44</v>
      </c>
      <c r="D462" s="3" t="s">
        <v>20</v>
      </c>
      <c r="E462" s="3"/>
      <c r="F462" s="3" t="s">
        <v>780</v>
      </c>
    </row>
    <row r="463" spans="2:6" ht="15.75" customHeight="1">
      <c r="B463" s="3">
        <v>15780</v>
      </c>
      <c r="C463" s="3" t="s">
        <v>51</v>
      </c>
      <c r="D463" s="3" t="s">
        <v>57</v>
      </c>
      <c r="E463" s="3"/>
      <c r="F463" s="3" t="s">
        <v>782</v>
      </c>
    </row>
    <row r="464" spans="2:6" ht="15.75" customHeight="1">
      <c r="B464" s="3">
        <v>15781</v>
      </c>
      <c r="C464" s="3" t="s">
        <v>19</v>
      </c>
      <c r="D464" s="3" t="s">
        <v>57</v>
      </c>
      <c r="E464" s="3"/>
      <c r="F464" s="3" t="s">
        <v>783</v>
      </c>
    </row>
    <row r="465" spans="2:6" ht="15.75" customHeight="1">
      <c r="B465" s="3">
        <v>15782</v>
      </c>
      <c r="C465" s="3" t="s">
        <v>19</v>
      </c>
      <c r="D465" s="3" t="s">
        <v>33</v>
      </c>
      <c r="E465" s="3"/>
      <c r="F465" s="3" t="s">
        <v>785</v>
      </c>
    </row>
    <row r="466" spans="2:6" ht="15.75" customHeight="1">
      <c r="B466" s="3">
        <v>15783</v>
      </c>
      <c r="C466" s="3" t="s">
        <v>61</v>
      </c>
      <c r="D466" s="3" t="s">
        <v>57</v>
      </c>
      <c r="E466" s="3"/>
      <c r="F466" s="3" t="s">
        <v>787</v>
      </c>
    </row>
    <row r="467" spans="2:6" ht="15.75" customHeight="1">
      <c r="B467" s="3">
        <v>15784</v>
      </c>
      <c r="C467" s="3" t="s">
        <v>24</v>
      </c>
      <c r="D467" s="3" t="s">
        <v>89</v>
      </c>
      <c r="E467" s="3"/>
      <c r="F467" s="3" t="s">
        <v>788</v>
      </c>
    </row>
    <row r="468" spans="2:6" ht="15.75" customHeight="1">
      <c r="B468" s="3">
        <v>15785</v>
      </c>
      <c r="C468" s="3" t="s">
        <v>55</v>
      </c>
      <c r="D468" s="3" t="s">
        <v>53</v>
      </c>
      <c r="E468" s="3"/>
      <c r="F468" s="3" t="s">
        <v>790</v>
      </c>
    </row>
    <row r="469" spans="2:6" ht="15.75" customHeight="1">
      <c r="B469" s="3">
        <v>15786</v>
      </c>
      <c r="C469" s="3" t="s">
        <v>19</v>
      </c>
      <c r="D469" s="3" t="s">
        <v>49</v>
      </c>
      <c r="E469" s="3"/>
      <c r="F469" s="3" t="s">
        <v>792</v>
      </c>
    </row>
    <row r="470" spans="2:6" ht="15.75" customHeight="1">
      <c r="B470" s="3">
        <v>15787</v>
      </c>
      <c r="C470" s="3" t="s">
        <v>24</v>
      </c>
      <c r="D470" s="3" t="s">
        <v>49</v>
      </c>
      <c r="E470" s="3"/>
      <c r="F470" s="3" t="s">
        <v>793</v>
      </c>
    </row>
    <row r="471" spans="2:6" ht="15.75" customHeight="1">
      <c r="B471" s="3">
        <v>15788</v>
      </c>
      <c r="C471" s="3" t="s">
        <v>31</v>
      </c>
      <c r="D471" s="3" t="s">
        <v>46</v>
      </c>
      <c r="E471" s="3"/>
      <c r="F471" s="3" t="s">
        <v>795</v>
      </c>
    </row>
    <row r="472" spans="2:6" ht="15.75" customHeight="1">
      <c r="B472" s="3">
        <v>15789</v>
      </c>
      <c r="C472" s="3" t="s">
        <v>39</v>
      </c>
      <c r="D472" s="3" t="s">
        <v>57</v>
      </c>
      <c r="E472" s="3"/>
      <c r="F472" s="3" t="s">
        <v>797</v>
      </c>
    </row>
    <row r="473" spans="2:6" ht="15.75" customHeight="1">
      <c r="B473" s="3">
        <v>15790</v>
      </c>
      <c r="C473" s="3" t="s">
        <v>24</v>
      </c>
      <c r="D473" s="3" t="s">
        <v>20</v>
      </c>
      <c r="E473" s="3"/>
      <c r="F473" s="3" t="s">
        <v>798</v>
      </c>
    </row>
    <row r="474" spans="2:6" ht="15.75" customHeight="1">
      <c r="B474" s="3">
        <v>15791</v>
      </c>
      <c r="C474" s="3" t="s">
        <v>31</v>
      </c>
      <c r="D474" s="3" t="s">
        <v>20</v>
      </c>
      <c r="E474" s="3"/>
      <c r="F474" s="3" t="s">
        <v>800</v>
      </c>
    </row>
    <row r="475" spans="2:6" ht="15.75" customHeight="1">
      <c r="B475" s="3">
        <v>15792</v>
      </c>
      <c r="C475" s="3" t="s">
        <v>55</v>
      </c>
      <c r="D475" s="3" t="s">
        <v>83</v>
      </c>
      <c r="E475" s="3"/>
      <c r="F475" s="3" t="s">
        <v>802</v>
      </c>
    </row>
    <row r="476" spans="2:6" ht="15.75" customHeight="1">
      <c r="B476" s="3">
        <v>15793</v>
      </c>
      <c r="C476" s="3" t="s">
        <v>24</v>
      </c>
      <c r="D476" s="3" t="s">
        <v>83</v>
      </c>
      <c r="E476" s="3"/>
      <c r="F476" s="3" t="s">
        <v>803</v>
      </c>
    </row>
    <row r="477" spans="2:6" ht="15.75" customHeight="1">
      <c r="B477" s="3">
        <v>15794</v>
      </c>
      <c r="C477" s="3" t="s">
        <v>31</v>
      </c>
      <c r="D477" s="3" t="s">
        <v>53</v>
      </c>
      <c r="E477" s="3"/>
      <c r="F477" s="3" t="s">
        <v>805</v>
      </c>
    </row>
    <row r="478" spans="2:6" ht="15.75" customHeight="1">
      <c r="B478" s="3">
        <v>15795</v>
      </c>
      <c r="C478" s="3" t="s">
        <v>51</v>
      </c>
      <c r="D478" s="3" t="s">
        <v>89</v>
      </c>
      <c r="E478" s="3"/>
      <c r="F478" s="3" t="s">
        <v>806</v>
      </c>
    </row>
    <row r="479" spans="2:6" ht="15.75" customHeight="1">
      <c r="B479" s="3">
        <v>15796</v>
      </c>
      <c r="C479" s="3" t="s">
        <v>39</v>
      </c>
      <c r="D479" s="3" t="s">
        <v>46</v>
      </c>
      <c r="E479" s="3"/>
      <c r="F479" s="3" t="s">
        <v>808</v>
      </c>
    </row>
    <row r="480" spans="2:6" ht="15.75" customHeight="1">
      <c r="B480" s="3">
        <v>15797</v>
      </c>
      <c r="C480" s="3" t="s">
        <v>44</v>
      </c>
      <c r="D480" s="3" t="s">
        <v>20</v>
      </c>
      <c r="E480" s="3"/>
      <c r="F480" s="3" t="s">
        <v>809</v>
      </c>
    </row>
    <row r="481" spans="2:6" ht="15.75" customHeight="1">
      <c r="B481" s="3">
        <v>15798</v>
      </c>
      <c r="C481" s="3" t="s">
        <v>24</v>
      </c>
      <c r="D481" s="3" t="s">
        <v>46</v>
      </c>
      <c r="E481" s="3"/>
      <c r="F481" s="3" t="s">
        <v>811</v>
      </c>
    </row>
    <row r="482" spans="2:6" ht="15.75" customHeight="1">
      <c r="B482" s="3">
        <v>15799</v>
      </c>
      <c r="C482" s="3" t="s">
        <v>24</v>
      </c>
      <c r="D482" s="3" t="s">
        <v>83</v>
      </c>
      <c r="E482" s="3"/>
      <c r="F482" s="3" t="s">
        <v>813</v>
      </c>
    </row>
    <row r="483" spans="2:6" ht="15.75" customHeight="1">
      <c r="B483" s="3">
        <v>15800</v>
      </c>
      <c r="C483" s="3" t="s">
        <v>39</v>
      </c>
      <c r="D483" s="3" t="s">
        <v>53</v>
      </c>
      <c r="E483" s="3"/>
      <c r="F483" s="3" t="s">
        <v>815</v>
      </c>
    </row>
    <row r="484" spans="2:6" ht="15.75" customHeight="1">
      <c r="B484" s="3">
        <v>15801</v>
      </c>
      <c r="C484" s="3" t="s">
        <v>26</v>
      </c>
      <c r="D484" s="3" t="s">
        <v>75</v>
      </c>
      <c r="E484" s="3"/>
      <c r="F484" s="3" t="s">
        <v>816</v>
      </c>
    </row>
    <row r="485" spans="2:6" ht="15.75" customHeight="1">
      <c r="B485" s="3">
        <v>15802</v>
      </c>
      <c r="C485" s="3" t="s">
        <v>39</v>
      </c>
      <c r="D485" s="3" t="s">
        <v>46</v>
      </c>
      <c r="E485" s="3"/>
      <c r="F485" s="3" t="s">
        <v>818</v>
      </c>
    </row>
    <row r="486" spans="2:6" ht="15.75" customHeight="1">
      <c r="B486" s="3">
        <v>15803</v>
      </c>
      <c r="C486" s="3" t="s">
        <v>51</v>
      </c>
      <c r="D486" s="3" t="s">
        <v>83</v>
      </c>
      <c r="E486" s="3"/>
      <c r="F486" s="3" t="s">
        <v>819</v>
      </c>
    </row>
    <row r="487" spans="2:6" ht="15.75" customHeight="1">
      <c r="B487" s="3">
        <v>15804</v>
      </c>
      <c r="C487" s="3" t="s">
        <v>61</v>
      </c>
      <c r="D487" s="3" t="s">
        <v>75</v>
      </c>
      <c r="E487" s="3"/>
      <c r="F487" s="3" t="s">
        <v>821</v>
      </c>
    </row>
    <row r="488" spans="2:6" ht="15.75" customHeight="1">
      <c r="B488" s="3">
        <v>15805</v>
      </c>
      <c r="C488" s="3" t="s">
        <v>26</v>
      </c>
      <c r="D488" s="3" t="s">
        <v>75</v>
      </c>
      <c r="E488" s="3"/>
      <c r="F488" s="3" t="s">
        <v>823</v>
      </c>
    </row>
    <row r="489" spans="2:6" ht="15.75" customHeight="1">
      <c r="B489" s="3">
        <v>15806</v>
      </c>
      <c r="C489" s="3" t="s">
        <v>39</v>
      </c>
      <c r="D489" s="3" t="s">
        <v>57</v>
      </c>
      <c r="E489" s="3"/>
      <c r="F489" s="3" t="s">
        <v>824</v>
      </c>
    </row>
    <row r="490" spans="2:6" ht="15.75" customHeight="1">
      <c r="B490" s="3">
        <v>15807</v>
      </c>
      <c r="C490" s="3" t="s">
        <v>31</v>
      </c>
      <c r="D490" s="3" t="s">
        <v>49</v>
      </c>
      <c r="E490" s="3"/>
      <c r="F490" s="3" t="s">
        <v>826</v>
      </c>
    </row>
    <row r="491" spans="2:6" ht="15.75" customHeight="1">
      <c r="B491" s="3">
        <v>15808</v>
      </c>
      <c r="C491" s="3" t="s">
        <v>31</v>
      </c>
      <c r="D491" s="3" t="s">
        <v>83</v>
      </c>
      <c r="E491" s="3"/>
      <c r="F491" s="3" t="s">
        <v>828</v>
      </c>
    </row>
    <row r="492" spans="2:6" ht="15.75" customHeight="1">
      <c r="B492" s="3">
        <v>15809</v>
      </c>
      <c r="C492" s="3" t="s">
        <v>67</v>
      </c>
      <c r="D492" s="3" t="s">
        <v>46</v>
      </c>
      <c r="E492" s="3"/>
      <c r="F492" s="3" t="s">
        <v>829</v>
      </c>
    </row>
    <row r="493" spans="2:6" ht="15.75" customHeight="1">
      <c r="B493" s="3">
        <v>15810</v>
      </c>
      <c r="C493" s="3" t="s">
        <v>31</v>
      </c>
      <c r="D493" s="3" t="s">
        <v>83</v>
      </c>
      <c r="E493" s="3"/>
      <c r="F493" s="3" t="s">
        <v>831</v>
      </c>
    </row>
    <row r="494" spans="2:6" ht="15.75" customHeight="1">
      <c r="B494" s="3">
        <v>15811</v>
      </c>
      <c r="C494" s="3" t="s">
        <v>67</v>
      </c>
      <c r="D494" s="3" t="s">
        <v>83</v>
      </c>
      <c r="E494" s="3"/>
      <c r="F494" s="3" t="s">
        <v>833</v>
      </c>
    </row>
    <row r="495" spans="2:6" ht="15.75" customHeight="1">
      <c r="B495" s="3">
        <v>15812</v>
      </c>
      <c r="C495" s="3" t="s">
        <v>51</v>
      </c>
      <c r="D495" s="3" t="s">
        <v>33</v>
      </c>
      <c r="E495" s="3"/>
      <c r="F495" s="3" t="s">
        <v>834</v>
      </c>
    </row>
    <row r="496" spans="2:6" ht="15.75" customHeight="1">
      <c r="B496" s="3">
        <v>15813</v>
      </c>
      <c r="C496" s="3" t="s">
        <v>31</v>
      </c>
      <c r="D496" s="3" t="s">
        <v>83</v>
      </c>
      <c r="E496" s="3"/>
      <c r="F496" s="3" t="s">
        <v>836</v>
      </c>
    </row>
    <row r="497" spans="2:6" ht="15.75" customHeight="1">
      <c r="B497" s="3">
        <v>15814</v>
      </c>
      <c r="C497" s="3" t="s">
        <v>39</v>
      </c>
      <c r="D497" s="3" t="s">
        <v>57</v>
      </c>
      <c r="E497" s="3"/>
      <c r="F497" s="3" t="s">
        <v>837</v>
      </c>
    </row>
    <row r="498" spans="2:6" ht="15.75" customHeight="1">
      <c r="B498" s="3">
        <v>15815</v>
      </c>
      <c r="C498" s="3" t="s">
        <v>31</v>
      </c>
      <c r="D498" s="3" t="s">
        <v>33</v>
      </c>
      <c r="E498" s="3"/>
      <c r="F498" s="3" t="s">
        <v>838</v>
      </c>
    </row>
    <row r="499" spans="2:6" ht="15.75" customHeight="1">
      <c r="B499" s="3">
        <v>15816</v>
      </c>
      <c r="C499" s="3" t="s">
        <v>44</v>
      </c>
      <c r="D499" s="3" t="s">
        <v>83</v>
      </c>
      <c r="E499" s="3"/>
      <c r="F499" s="3" t="s">
        <v>840</v>
      </c>
    </row>
    <row r="500" spans="2:6" ht="15.75" customHeight="1">
      <c r="B500" s="3">
        <v>15817</v>
      </c>
      <c r="C500" s="3" t="s">
        <v>44</v>
      </c>
      <c r="D500" s="3" t="s">
        <v>89</v>
      </c>
      <c r="E500" s="3"/>
      <c r="F500" s="3" t="s">
        <v>841</v>
      </c>
    </row>
    <row r="501" spans="2:6" ht="15.75" customHeight="1">
      <c r="B501" s="3">
        <v>15818</v>
      </c>
      <c r="C501" s="3" t="s">
        <v>51</v>
      </c>
      <c r="D501" s="3" t="s">
        <v>46</v>
      </c>
      <c r="E501" s="3"/>
      <c r="F501" s="3" t="s">
        <v>842</v>
      </c>
    </row>
    <row r="502" spans="2:6" ht="15.75" customHeight="1">
      <c r="B502" s="3">
        <v>15819</v>
      </c>
      <c r="C502" s="3" t="s">
        <v>24</v>
      </c>
      <c r="D502" s="3" t="s">
        <v>89</v>
      </c>
      <c r="E502" s="3"/>
      <c r="F502" s="3" t="s">
        <v>843</v>
      </c>
    </row>
    <row r="503" spans="2:6" ht="15.75" customHeight="1">
      <c r="B503" s="3">
        <v>15820</v>
      </c>
      <c r="C503" s="3" t="s">
        <v>31</v>
      </c>
      <c r="D503" s="3" t="s">
        <v>33</v>
      </c>
      <c r="E503" s="3"/>
      <c r="F503" s="3" t="s">
        <v>844</v>
      </c>
    </row>
    <row r="504" spans="2:6" ht="15.75" customHeight="1">
      <c r="B504" s="3">
        <v>15821</v>
      </c>
      <c r="C504" s="3" t="s">
        <v>19</v>
      </c>
      <c r="D504" s="3" t="s">
        <v>83</v>
      </c>
      <c r="E504" s="3"/>
      <c r="F504" s="3" t="s">
        <v>845</v>
      </c>
    </row>
    <row r="505" spans="2:6" ht="15.75" customHeight="1">
      <c r="B505" s="3">
        <v>15822</v>
      </c>
      <c r="C505" s="3" t="s">
        <v>55</v>
      </c>
      <c r="D505" s="3" t="s">
        <v>33</v>
      </c>
      <c r="E505" s="3"/>
      <c r="F505" s="3" t="s">
        <v>846</v>
      </c>
    </row>
    <row r="506" spans="2:6" ht="15.75" customHeight="1">
      <c r="B506" s="3">
        <v>15823</v>
      </c>
      <c r="C506" s="3" t="s">
        <v>44</v>
      </c>
      <c r="D506" s="3" t="s">
        <v>89</v>
      </c>
      <c r="E506" s="3"/>
      <c r="F506" s="3" t="s">
        <v>847</v>
      </c>
    </row>
    <row r="507" spans="2:6" ht="15.75" customHeight="1">
      <c r="B507" s="3">
        <v>15824</v>
      </c>
      <c r="C507" s="3" t="s">
        <v>19</v>
      </c>
      <c r="D507" s="3" t="s">
        <v>83</v>
      </c>
      <c r="E507" s="3"/>
      <c r="F507" s="3" t="s">
        <v>848</v>
      </c>
    </row>
    <row r="508" spans="2:6" ht="15.75" customHeight="1">
      <c r="B508" s="3">
        <v>15825</v>
      </c>
      <c r="C508" s="3" t="s">
        <v>39</v>
      </c>
      <c r="D508" s="3" t="s">
        <v>57</v>
      </c>
      <c r="E508" s="3"/>
      <c r="F508" s="3" t="s">
        <v>849</v>
      </c>
    </row>
    <row r="509" spans="2:6" ht="15.75" customHeight="1">
      <c r="B509" s="3">
        <v>15826</v>
      </c>
      <c r="C509" s="3" t="s">
        <v>55</v>
      </c>
      <c r="D509" s="3" t="s">
        <v>57</v>
      </c>
      <c r="E509" s="3"/>
      <c r="F509" s="3" t="s">
        <v>850</v>
      </c>
    </row>
    <row r="510" spans="2:6" ht="15.75" customHeight="1">
      <c r="B510" s="3">
        <v>15827</v>
      </c>
      <c r="C510" s="3" t="s">
        <v>44</v>
      </c>
      <c r="D510" s="3" t="s">
        <v>20</v>
      </c>
      <c r="E510" s="3"/>
      <c r="F510" s="3" t="s">
        <v>851</v>
      </c>
    </row>
    <row r="511" spans="2:6" ht="15.75" customHeight="1">
      <c r="B511" s="3">
        <v>15828</v>
      </c>
      <c r="C511" s="3" t="s">
        <v>51</v>
      </c>
      <c r="D511" s="3" t="s">
        <v>89</v>
      </c>
      <c r="E511" s="3"/>
      <c r="F511" s="3" t="s">
        <v>852</v>
      </c>
    </row>
    <row r="512" spans="2:6" ht="15.75" customHeight="1">
      <c r="B512" s="3">
        <v>15829</v>
      </c>
      <c r="C512" s="3" t="s">
        <v>44</v>
      </c>
      <c r="D512" s="3" t="s">
        <v>20</v>
      </c>
      <c r="E512" s="3"/>
      <c r="F512" s="3" t="s">
        <v>853</v>
      </c>
    </row>
    <row r="513" spans="2:6" ht="15.75" customHeight="1">
      <c r="B513" s="3">
        <v>15830</v>
      </c>
      <c r="C513" s="3" t="s">
        <v>39</v>
      </c>
      <c r="D513" s="3" t="s">
        <v>28</v>
      </c>
      <c r="E513" s="3"/>
      <c r="F513" s="3" t="s">
        <v>854</v>
      </c>
    </row>
    <row r="514" spans="2:6" ht="15.75" customHeight="1">
      <c r="B514" s="3">
        <v>15831</v>
      </c>
      <c r="C514" s="3" t="s">
        <v>61</v>
      </c>
      <c r="D514" s="3" t="s">
        <v>75</v>
      </c>
      <c r="E514" s="3"/>
      <c r="F514" s="3" t="s">
        <v>855</v>
      </c>
    </row>
    <row r="515" spans="2:6" ht="15.75" customHeight="1">
      <c r="B515" s="3">
        <v>15832</v>
      </c>
      <c r="C515" s="3" t="s">
        <v>61</v>
      </c>
      <c r="D515" s="3" t="s">
        <v>28</v>
      </c>
      <c r="E515" s="3"/>
      <c r="F515" s="3" t="s">
        <v>856</v>
      </c>
    </row>
    <row r="516" spans="2:6" ht="15.75" customHeight="1">
      <c r="B516" s="3">
        <v>15833</v>
      </c>
      <c r="C516" s="3" t="s">
        <v>51</v>
      </c>
      <c r="D516" s="3" t="s">
        <v>28</v>
      </c>
      <c r="E516" s="3"/>
      <c r="F516" s="3" t="s">
        <v>857</v>
      </c>
    </row>
    <row r="517" spans="2:6" ht="15.75" customHeight="1">
      <c r="B517" s="3">
        <v>15834</v>
      </c>
      <c r="C517" s="3" t="s">
        <v>39</v>
      </c>
      <c r="D517" s="3" t="s">
        <v>53</v>
      </c>
      <c r="E517" s="3"/>
      <c r="F517" s="3" t="s">
        <v>858</v>
      </c>
    </row>
    <row r="518" spans="2:6" ht="15.75" customHeight="1">
      <c r="B518" s="3">
        <v>15835</v>
      </c>
      <c r="C518" s="3" t="s">
        <v>39</v>
      </c>
      <c r="D518" s="3" t="s">
        <v>75</v>
      </c>
      <c r="E518" s="3"/>
      <c r="F518" s="3" t="s">
        <v>859</v>
      </c>
    </row>
    <row r="519" spans="2:6" ht="15.75" customHeight="1">
      <c r="B519" s="3">
        <v>15836</v>
      </c>
      <c r="C519" s="3" t="s">
        <v>55</v>
      </c>
      <c r="D519" s="3" t="s">
        <v>53</v>
      </c>
      <c r="E519" s="3"/>
      <c r="F519" s="3" t="s">
        <v>860</v>
      </c>
    </row>
    <row r="520" spans="2:6" ht="15.75" customHeight="1">
      <c r="B520" s="3">
        <v>15837</v>
      </c>
      <c r="C520" s="3" t="s">
        <v>61</v>
      </c>
      <c r="D520" s="3" t="s">
        <v>28</v>
      </c>
      <c r="E520" s="3"/>
      <c r="F520" s="3" t="s">
        <v>861</v>
      </c>
    </row>
    <row r="521" spans="2:6" ht="15.75" customHeight="1">
      <c r="B521" s="3">
        <v>15838</v>
      </c>
      <c r="C521" s="3" t="s">
        <v>39</v>
      </c>
      <c r="D521" s="3" t="s">
        <v>83</v>
      </c>
      <c r="E521" s="3"/>
      <c r="F521" s="3" t="s">
        <v>862</v>
      </c>
    </row>
    <row r="522" spans="2:6" ht="15.75" customHeight="1">
      <c r="B522" s="3">
        <v>15839</v>
      </c>
      <c r="C522" s="3" t="s">
        <v>39</v>
      </c>
      <c r="D522" s="3" t="s">
        <v>83</v>
      </c>
      <c r="E522" s="3"/>
      <c r="F522" s="3" t="s">
        <v>863</v>
      </c>
    </row>
    <row r="523" spans="2:6" ht="15.75" customHeight="1">
      <c r="B523" s="3">
        <v>15840</v>
      </c>
      <c r="C523" s="3" t="s">
        <v>61</v>
      </c>
      <c r="D523" s="3" t="s">
        <v>33</v>
      </c>
      <c r="E523" s="3"/>
      <c r="F523" s="3" t="s">
        <v>864</v>
      </c>
    </row>
    <row r="524" spans="2:6" ht="15.75" customHeight="1">
      <c r="B524" s="3">
        <v>15841</v>
      </c>
      <c r="C524" s="3" t="s">
        <v>61</v>
      </c>
      <c r="D524" s="3" t="s">
        <v>20</v>
      </c>
      <c r="E524" s="3"/>
      <c r="F524" s="3" t="s">
        <v>865</v>
      </c>
    </row>
    <row r="525" spans="2:6" ht="15.75" customHeight="1">
      <c r="B525" s="3">
        <v>15842</v>
      </c>
      <c r="C525" s="3" t="s">
        <v>31</v>
      </c>
      <c r="D525" s="3" t="s">
        <v>89</v>
      </c>
      <c r="E525" s="3"/>
      <c r="F525" s="3" t="s">
        <v>866</v>
      </c>
    </row>
    <row r="526" spans="2:6" ht="15.75" customHeight="1">
      <c r="B526" s="3">
        <v>15843</v>
      </c>
      <c r="C526" s="3" t="s">
        <v>51</v>
      </c>
      <c r="D526" s="3" t="s">
        <v>57</v>
      </c>
      <c r="E526" s="3"/>
      <c r="F526" s="3" t="s">
        <v>867</v>
      </c>
    </row>
    <row r="527" spans="2:6" ht="15.75" customHeight="1">
      <c r="B527" s="3">
        <v>15844</v>
      </c>
      <c r="C527" s="3" t="s">
        <v>39</v>
      </c>
      <c r="D527" s="3" t="s">
        <v>49</v>
      </c>
      <c r="E527" s="3"/>
      <c r="F527" s="3" t="s">
        <v>868</v>
      </c>
    </row>
    <row r="528" spans="2:6" ht="15.75" customHeight="1">
      <c r="B528" s="3">
        <v>15845</v>
      </c>
      <c r="C528" s="3" t="s">
        <v>24</v>
      </c>
      <c r="D528" s="3" t="s">
        <v>89</v>
      </c>
      <c r="E528" s="3"/>
      <c r="F528" s="3" t="s">
        <v>869</v>
      </c>
    </row>
    <row r="529" spans="2:6" ht="15.75" customHeight="1">
      <c r="B529" s="3">
        <v>15846</v>
      </c>
      <c r="C529" s="3" t="s">
        <v>55</v>
      </c>
      <c r="D529" s="3" t="s">
        <v>49</v>
      </c>
      <c r="E529" s="3"/>
      <c r="F529" s="3" t="s">
        <v>870</v>
      </c>
    </row>
    <row r="530" spans="2:6" ht="15.75" customHeight="1">
      <c r="B530" s="3">
        <v>15847</v>
      </c>
      <c r="C530" s="3" t="s">
        <v>67</v>
      </c>
      <c r="D530" s="3" t="s">
        <v>75</v>
      </c>
      <c r="E530" s="3"/>
      <c r="F530" s="3" t="s">
        <v>871</v>
      </c>
    </row>
    <row r="531" spans="2:6" ht="15.75" customHeight="1">
      <c r="B531" s="3">
        <v>15848</v>
      </c>
      <c r="C531" s="3" t="s">
        <v>44</v>
      </c>
      <c r="D531" s="3" t="s">
        <v>57</v>
      </c>
      <c r="E531" s="3"/>
      <c r="F531" s="3" t="s">
        <v>872</v>
      </c>
    </row>
    <row r="532" spans="2:6" ht="15.75" customHeight="1">
      <c r="B532" s="3">
        <v>15849</v>
      </c>
      <c r="C532" s="3" t="s">
        <v>67</v>
      </c>
      <c r="D532" s="3" t="s">
        <v>49</v>
      </c>
      <c r="E532" s="3"/>
      <c r="F532" s="3" t="s">
        <v>873</v>
      </c>
    </row>
    <row r="533" spans="2:6" ht="15.75" customHeight="1">
      <c r="B533" s="3">
        <v>15850</v>
      </c>
      <c r="C533" s="3" t="s">
        <v>19</v>
      </c>
      <c r="D533" s="3" t="s">
        <v>28</v>
      </c>
      <c r="E533" s="3"/>
      <c r="F533" s="3" t="s">
        <v>874</v>
      </c>
    </row>
    <row r="534" spans="2:6" ht="15.75" customHeight="1">
      <c r="B534" s="3">
        <v>15851</v>
      </c>
      <c r="C534" s="3" t="s">
        <v>55</v>
      </c>
      <c r="D534" s="3" t="s">
        <v>49</v>
      </c>
      <c r="E534" s="3"/>
      <c r="F534" s="3" t="s">
        <v>875</v>
      </c>
    </row>
    <row r="535" spans="2:6" ht="15.75" customHeight="1">
      <c r="B535" s="3">
        <v>15852</v>
      </c>
      <c r="C535" s="3" t="s">
        <v>55</v>
      </c>
      <c r="D535" s="3" t="s">
        <v>20</v>
      </c>
      <c r="E535" s="3"/>
      <c r="F535" s="3" t="s">
        <v>876</v>
      </c>
    </row>
    <row r="536" spans="2:6" ht="15.75" customHeight="1">
      <c r="B536" s="3">
        <v>15853</v>
      </c>
      <c r="C536" s="3" t="s">
        <v>19</v>
      </c>
      <c r="D536" s="3" t="s">
        <v>57</v>
      </c>
      <c r="E536" s="3"/>
      <c r="F536" s="3" t="s">
        <v>877</v>
      </c>
    </row>
    <row r="537" spans="2:6" ht="15.75" customHeight="1">
      <c r="B537" s="3">
        <v>15854</v>
      </c>
      <c r="C537" s="3" t="s">
        <v>31</v>
      </c>
      <c r="D537" s="3" t="s">
        <v>83</v>
      </c>
      <c r="E537" s="3"/>
      <c r="F537" s="3" t="s">
        <v>878</v>
      </c>
    </row>
    <row r="538" spans="2:6" ht="15.75" customHeight="1">
      <c r="B538" s="3">
        <v>15855</v>
      </c>
      <c r="C538" s="3" t="s">
        <v>39</v>
      </c>
      <c r="D538" s="3" t="s">
        <v>49</v>
      </c>
      <c r="E538" s="3"/>
      <c r="F538" s="3" t="s">
        <v>879</v>
      </c>
    </row>
    <row r="539" spans="2:6" ht="15.75" customHeight="1">
      <c r="B539" s="3">
        <v>15856</v>
      </c>
      <c r="C539" s="3" t="s">
        <v>55</v>
      </c>
      <c r="D539" s="3" t="s">
        <v>49</v>
      </c>
      <c r="E539" s="3"/>
      <c r="F539" s="3" t="s">
        <v>880</v>
      </c>
    </row>
    <row r="540" spans="2:6" ht="15.75" customHeight="1">
      <c r="B540" s="3">
        <v>15857</v>
      </c>
      <c r="C540" s="3" t="s">
        <v>61</v>
      </c>
      <c r="D540" s="3" t="s">
        <v>20</v>
      </c>
      <c r="E540" s="3"/>
      <c r="F540" s="3" t="s">
        <v>881</v>
      </c>
    </row>
    <row r="541" spans="2:6" ht="15.75" customHeight="1">
      <c r="B541" s="3">
        <v>15858</v>
      </c>
      <c r="C541" s="3" t="s">
        <v>51</v>
      </c>
      <c r="D541" s="3" t="s">
        <v>49</v>
      </c>
      <c r="E541" s="3"/>
      <c r="F541" s="3" t="s">
        <v>882</v>
      </c>
    </row>
    <row r="542" spans="2:6" ht="15.75" customHeight="1">
      <c r="B542" s="3">
        <v>15859</v>
      </c>
      <c r="C542" s="3" t="s">
        <v>19</v>
      </c>
      <c r="D542" s="3" t="s">
        <v>28</v>
      </c>
      <c r="E542" s="3"/>
      <c r="F542" s="3" t="s">
        <v>883</v>
      </c>
    </row>
    <row r="543" spans="2:6" ht="15.75" customHeight="1">
      <c r="B543" s="3">
        <v>15860</v>
      </c>
      <c r="C543" s="3" t="s">
        <v>31</v>
      </c>
      <c r="D543" s="3" t="s">
        <v>49</v>
      </c>
      <c r="E543" s="3"/>
      <c r="F543" s="3" t="s">
        <v>884</v>
      </c>
    </row>
    <row r="544" spans="2:6" ht="15.75" customHeight="1">
      <c r="B544" s="3">
        <v>15861</v>
      </c>
      <c r="C544" s="3" t="s">
        <v>31</v>
      </c>
      <c r="D544" s="3" t="s">
        <v>83</v>
      </c>
      <c r="E544" s="3"/>
      <c r="F544" s="3" t="s">
        <v>885</v>
      </c>
    </row>
    <row r="545" spans="2:6" ht="15.75" customHeight="1">
      <c r="B545" s="3">
        <v>15862</v>
      </c>
      <c r="C545" s="3" t="s">
        <v>19</v>
      </c>
      <c r="D545" s="3" t="s">
        <v>83</v>
      </c>
      <c r="E545" s="3"/>
      <c r="F545" s="3" t="s">
        <v>886</v>
      </c>
    </row>
    <row r="546" spans="2:6" ht="15.75" customHeight="1">
      <c r="B546" s="3">
        <v>15863</v>
      </c>
      <c r="C546" s="3" t="s">
        <v>31</v>
      </c>
      <c r="D546" s="3" t="s">
        <v>33</v>
      </c>
      <c r="E546" s="3"/>
      <c r="F546" s="3" t="s">
        <v>887</v>
      </c>
    </row>
    <row r="547" spans="2:6" ht="15.75" customHeight="1">
      <c r="B547" s="3">
        <v>15864</v>
      </c>
      <c r="C547" s="3" t="s">
        <v>61</v>
      </c>
      <c r="D547" s="3" t="s">
        <v>83</v>
      </c>
      <c r="E547" s="3"/>
      <c r="F547" s="3" t="s">
        <v>888</v>
      </c>
    </row>
    <row r="548" spans="2:6" ht="15.75" customHeight="1">
      <c r="B548" s="3">
        <v>15865</v>
      </c>
      <c r="C548" s="3" t="s">
        <v>19</v>
      </c>
      <c r="D548" s="3" t="s">
        <v>33</v>
      </c>
      <c r="E548" s="3"/>
      <c r="F548" s="3" t="s">
        <v>889</v>
      </c>
    </row>
    <row r="549" spans="2:6" ht="15.75" customHeight="1">
      <c r="B549" s="3">
        <v>15866</v>
      </c>
      <c r="C549" s="3" t="s">
        <v>51</v>
      </c>
      <c r="D549" s="3" t="s">
        <v>57</v>
      </c>
      <c r="E549" s="3"/>
      <c r="F549" s="3" t="s">
        <v>890</v>
      </c>
    </row>
    <row r="550" spans="2:6" ht="15.75" customHeight="1">
      <c r="B550" s="3">
        <v>15867</v>
      </c>
      <c r="C550" s="3" t="s">
        <v>26</v>
      </c>
      <c r="D550" s="3" t="s">
        <v>75</v>
      </c>
      <c r="E550" s="3"/>
      <c r="F550" s="3" t="s">
        <v>891</v>
      </c>
    </row>
    <row r="551" spans="2:6" ht="15.75" customHeight="1">
      <c r="B551" s="3">
        <v>15868</v>
      </c>
      <c r="C551" s="3" t="s">
        <v>61</v>
      </c>
      <c r="D551" s="3" t="s">
        <v>33</v>
      </c>
      <c r="E551" s="3"/>
      <c r="F551" s="3" t="s">
        <v>892</v>
      </c>
    </row>
    <row r="552" spans="2:6" ht="15.75" customHeight="1">
      <c r="B552" s="3">
        <v>15869</v>
      </c>
      <c r="C552" s="3" t="s">
        <v>67</v>
      </c>
      <c r="D552" s="3" t="s">
        <v>28</v>
      </c>
      <c r="E552" s="3"/>
      <c r="F552" s="3" t="s">
        <v>893</v>
      </c>
    </row>
    <row r="553" spans="2:6" ht="15.75" customHeight="1">
      <c r="B553" s="3">
        <v>15870</v>
      </c>
      <c r="C553" s="3" t="s">
        <v>39</v>
      </c>
      <c r="D553" s="3" t="s">
        <v>83</v>
      </c>
      <c r="E553" s="3"/>
      <c r="F553" s="3" t="s">
        <v>894</v>
      </c>
    </row>
    <row r="554" spans="2:6" ht="15.75" customHeight="1">
      <c r="B554" s="3">
        <v>15871</v>
      </c>
      <c r="C554" s="3" t="s">
        <v>31</v>
      </c>
      <c r="D554" s="3" t="s">
        <v>20</v>
      </c>
      <c r="E554" s="3"/>
      <c r="F554" s="3" t="s">
        <v>895</v>
      </c>
    </row>
    <row r="555" spans="2:6" ht="15.75" customHeight="1">
      <c r="B555" s="3">
        <v>15872</v>
      </c>
      <c r="C555" s="3" t="s">
        <v>19</v>
      </c>
      <c r="D555" s="3" t="s">
        <v>57</v>
      </c>
      <c r="E555" s="3"/>
      <c r="F555" s="3" t="s">
        <v>896</v>
      </c>
    </row>
    <row r="556" spans="2:6" ht="15.75" customHeight="1">
      <c r="B556" s="3">
        <v>15873</v>
      </c>
      <c r="C556" s="3" t="s">
        <v>44</v>
      </c>
      <c r="D556" s="3" t="s">
        <v>53</v>
      </c>
      <c r="E556" s="3"/>
      <c r="F556" s="3" t="s">
        <v>897</v>
      </c>
    </row>
    <row r="557" spans="2:6" ht="15.75" customHeight="1">
      <c r="B557" s="3">
        <v>15874</v>
      </c>
      <c r="C557" s="3" t="s">
        <v>51</v>
      </c>
      <c r="D557" s="3" t="s">
        <v>89</v>
      </c>
      <c r="E557" s="3"/>
      <c r="F557" s="3" t="s">
        <v>898</v>
      </c>
    </row>
    <row r="558" spans="2:6" ht="15.75" customHeight="1">
      <c r="B558" s="3">
        <v>15875</v>
      </c>
      <c r="C558" s="3" t="s">
        <v>31</v>
      </c>
      <c r="D558" s="3" t="s">
        <v>89</v>
      </c>
      <c r="E558" s="3"/>
      <c r="F558" s="3" t="s">
        <v>899</v>
      </c>
    </row>
    <row r="559" spans="2:6" ht="15.75" customHeight="1">
      <c r="B559" s="3">
        <v>15876</v>
      </c>
      <c r="C559" s="3" t="s">
        <v>51</v>
      </c>
      <c r="D559" s="3" t="s">
        <v>83</v>
      </c>
      <c r="E559" s="3"/>
      <c r="F559" s="3" t="s">
        <v>900</v>
      </c>
    </row>
    <row r="560" spans="2:6" ht="15.75" customHeight="1">
      <c r="B560" s="3">
        <v>15877</v>
      </c>
      <c r="C560" s="3" t="s">
        <v>55</v>
      </c>
      <c r="D560" s="3" t="s">
        <v>33</v>
      </c>
      <c r="E560" s="3"/>
      <c r="F560" s="3" t="s">
        <v>901</v>
      </c>
    </row>
    <row r="561" spans="2:6" ht="15.75" customHeight="1">
      <c r="B561" s="3">
        <v>15878</v>
      </c>
      <c r="C561" s="3" t="s">
        <v>67</v>
      </c>
      <c r="D561" s="3" t="s">
        <v>28</v>
      </c>
      <c r="E561" s="3"/>
      <c r="F561" s="3" t="s">
        <v>902</v>
      </c>
    </row>
    <row r="562" spans="2:6" ht="15.75" customHeight="1">
      <c r="B562" s="3">
        <v>15879</v>
      </c>
      <c r="C562" s="3" t="s">
        <v>55</v>
      </c>
      <c r="D562" s="3" t="s">
        <v>57</v>
      </c>
      <c r="E562" s="3"/>
      <c r="F562" s="3" t="s">
        <v>903</v>
      </c>
    </row>
    <row r="563" spans="2:6" ht="15.75" customHeight="1">
      <c r="B563" s="3">
        <v>15880</v>
      </c>
      <c r="C563" s="3" t="s">
        <v>39</v>
      </c>
      <c r="D563" s="3" t="s">
        <v>83</v>
      </c>
      <c r="E563" s="3"/>
      <c r="F563" s="3" t="s">
        <v>904</v>
      </c>
    </row>
    <row r="564" spans="2:6" ht="15.75" customHeight="1">
      <c r="B564" s="3">
        <v>15881</v>
      </c>
      <c r="C564" s="3" t="s">
        <v>24</v>
      </c>
      <c r="D564" s="3" t="s">
        <v>83</v>
      </c>
      <c r="E564" s="3"/>
      <c r="F564" s="3" t="s">
        <v>905</v>
      </c>
    </row>
    <row r="565" spans="2:6" ht="15.75" customHeight="1">
      <c r="B565" s="3">
        <v>15882</v>
      </c>
      <c r="C565" s="3" t="s">
        <v>19</v>
      </c>
      <c r="D565" s="3" t="s">
        <v>53</v>
      </c>
      <c r="E565" s="3"/>
      <c r="F565" s="3" t="s">
        <v>906</v>
      </c>
    </row>
    <row r="566" spans="2:6" ht="15.75" customHeight="1">
      <c r="B566" s="3">
        <v>15883</v>
      </c>
      <c r="C566" s="3" t="s">
        <v>51</v>
      </c>
      <c r="D566" s="3" t="s">
        <v>28</v>
      </c>
      <c r="E566" s="3"/>
      <c r="F566" s="3" t="s">
        <v>907</v>
      </c>
    </row>
    <row r="567" spans="2:6" ht="15.75" customHeight="1">
      <c r="B567" s="3">
        <v>15884</v>
      </c>
      <c r="C567" s="3" t="s">
        <v>67</v>
      </c>
      <c r="D567" s="3" t="s">
        <v>57</v>
      </c>
      <c r="E567" s="3"/>
      <c r="F567" s="3" t="s">
        <v>908</v>
      </c>
    </row>
    <row r="568" spans="2:6" ht="15.75" customHeight="1">
      <c r="B568" s="3">
        <v>15885</v>
      </c>
      <c r="C568" s="3" t="s">
        <v>19</v>
      </c>
      <c r="D568" s="3" t="s">
        <v>33</v>
      </c>
      <c r="E568" s="3"/>
      <c r="F568" s="3" t="s">
        <v>909</v>
      </c>
    </row>
    <row r="569" spans="2:6" ht="15.75" customHeight="1">
      <c r="B569" s="3">
        <v>15886</v>
      </c>
      <c r="C569" s="3" t="s">
        <v>19</v>
      </c>
      <c r="D569" s="3" t="s">
        <v>89</v>
      </c>
      <c r="E569" s="3"/>
      <c r="F569" s="3" t="s">
        <v>910</v>
      </c>
    </row>
    <row r="570" spans="2:6" ht="15.75" customHeight="1">
      <c r="B570" s="3">
        <v>15887</v>
      </c>
      <c r="C570" s="3" t="s">
        <v>51</v>
      </c>
      <c r="D570" s="3" t="s">
        <v>83</v>
      </c>
      <c r="E570" s="3"/>
      <c r="F570" s="3" t="s">
        <v>911</v>
      </c>
    </row>
    <row r="571" spans="2:6" ht="15.75" customHeight="1">
      <c r="B571" s="3">
        <v>15888</v>
      </c>
      <c r="C571" s="3" t="s">
        <v>31</v>
      </c>
      <c r="D571" s="3" t="s">
        <v>83</v>
      </c>
      <c r="E571" s="3"/>
      <c r="F571" s="3" t="s">
        <v>912</v>
      </c>
    </row>
    <row r="572" spans="2:6" ht="15.75" customHeight="1">
      <c r="B572" s="3">
        <v>15889</v>
      </c>
      <c r="C572" s="3" t="s">
        <v>24</v>
      </c>
      <c r="D572" s="3" t="s">
        <v>53</v>
      </c>
      <c r="E572" s="3"/>
      <c r="F572" s="3" t="s">
        <v>913</v>
      </c>
    </row>
    <row r="573" spans="2:6" ht="15.75" customHeight="1">
      <c r="B573" s="3">
        <v>15890</v>
      </c>
      <c r="C573" s="3" t="s">
        <v>24</v>
      </c>
      <c r="D573" s="3" t="s">
        <v>33</v>
      </c>
      <c r="E573" s="3"/>
      <c r="F573" s="3" t="s">
        <v>914</v>
      </c>
    </row>
    <row r="574" spans="2:6" ht="15.75" customHeight="1">
      <c r="B574" s="3">
        <v>15891</v>
      </c>
      <c r="C574" s="3" t="s">
        <v>61</v>
      </c>
      <c r="D574" s="3" t="s">
        <v>46</v>
      </c>
      <c r="E574" s="3"/>
      <c r="F574" s="3" t="s">
        <v>915</v>
      </c>
    </row>
    <row r="575" spans="2:6" ht="15.75" customHeight="1">
      <c r="B575" s="3">
        <v>15892</v>
      </c>
      <c r="C575" s="3" t="s">
        <v>26</v>
      </c>
      <c r="D575" s="3" t="s">
        <v>28</v>
      </c>
      <c r="E575" s="3"/>
      <c r="F575" s="3" t="s">
        <v>916</v>
      </c>
    </row>
    <row r="576" spans="2:6" ht="15.75" customHeight="1">
      <c r="B576" s="3">
        <v>15893</v>
      </c>
      <c r="C576" s="3" t="s">
        <v>55</v>
      </c>
      <c r="D576" s="3" t="s">
        <v>46</v>
      </c>
      <c r="E576" s="3"/>
      <c r="F576" s="3" t="s">
        <v>917</v>
      </c>
    </row>
    <row r="577" spans="2:6" ht="15.75" customHeight="1">
      <c r="B577" s="3">
        <v>15894</v>
      </c>
      <c r="C577" s="3" t="s">
        <v>55</v>
      </c>
      <c r="D577" s="3" t="s">
        <v>33</v>
      </c>
      <c r="E577" s="3"/>
      <c r="F577" s="3" t="s">
        <v>918</v>
      </c>
    </row>
    <row r="578" spans="2:6" ht="15.75" customHeight="1">
      <c r="B578" s="3">
        <v>15895</v>
      </c>
      <c r="C578" s="3" t="s">
        <v>51</v>
      </c>
      <c r="D578" s="3" t="s">
        <v>83</v>
      </c>
      <c r="E578" s="3"/>
      <c r="F578" s="3" t="s">
        <v>919</v>
      </c>
    </row>
    <row r="579" spans="2:6" ht="15.75" customHeight="1">
      <c r="B579" s="3">
        <v>15896</v>
      </c>
      <c r="C579" s="3" t="s">
        <v>24</v>
      </c>
      <c r="D579" s="3" t="s">
        <v>83</v>
      </c>
      <c r="E579" s="3"/>
      <c r="F579" s="3" t="s">
        <v>920</v>
      </c>
    </row>
    <row r="580" spans="2:6" ht="15.75" customHeight="1">
      <c r="B580" s="3">
        <v>15897</v>
      </c>
      <c r="C580" s="3" t="s">
        <v>44</v>
      </c>
      <c r="D580" s="3" t="s">
        <v>53</v>
      </c>
      <c r="E580" s="3"/>
      <c r="F580" s="3" t="s">
        <v>921</v>
      </c>
    </row>
    <row r="581" spans="2:6" ht="15.75" customHeight="1">
      <c r="B581" s="3">
        <v>15898</v>
      </c>
      <c r="C581" s="3" t="s">
        <v>67</v>
      </c>
      <c r="D581" s="3" t="s">
        <v>83</v>
      </c>
      <c r="E581" s="3"/>
      <c r="F581" s="3" t="s">
        <v>922</v>
      </c>
    </row>
    <row r="582" spans="2:6" ht="15.75" customHeight="1">
      <c r="B582" s="3">
        <v>15899</v>
      </c>
      <c r="C582" s="3" t="s">
        <v>44</v>
      </c>
      <c r="D582" s="3" t="s">
        <v>75</v>
      </c>
      <c r="E582" s="3"/>
      <c r="F582" s="3" t="s">
        <v>923</v>
      </c>
    </row>
    <row r="583" spans="2:6" ht="15.75" customHeight="1">
      <c r="B583" s="3">
        <v>15900</v>
      </c>
      <c r="C583" s="3" t="s">
        <v>31</v>
      </c>
      <c r="D583" s="3" t="s">
        <v>33</v>
      </c>
      <c r="E583" s="3"/>
      <c r="F583" s="3" t="s">
        <v>924</v>
      </c>
    </row>
    <row r="584" spans="2:6" ht="15.75" customHeight="1">
      <c r="B584" s="3">
        <v>15901</v>
      </c>
      <c r="C584" s="3" t="s">
        <v>61</v>
      </c>
      <c r="D584" s="3" t="s">
        <v>33</v>
      </c>
      <c r="E584" s="3"/>
      <c r="F584" s="3" t="s">
        <v>925</v>
      </c>
    </row>
    <row r="585" spans="2:6" ht="15.75" customHeight="1">
      <c r="B585" s="3">
        <v>15902</v>
      </c>
      <c r="C585" s="3" t="s">
        <v>55</v>
      </c>
      <c r="D585" s="3" t="s">
        <v>28</v>
      </c>
      <c r="E585" s="3"/>
      <c r="F585" s="3" t="s">
        <v>926</v>
      </c>
    </row>
    <row r="586" spans="2:6" ht="15.75" customHeight="1">
      <c r="B586" s="3">
        <v>15903</v>
      </c>
      <c r="C586" s="3" t="s">
        <v>19</v>
      </c>
      <c r="D586" s="3" t="s">
        <v>28</v>
      </c>
      <c r="E586" s="3"/>
      <c r="F586" s="3" t="s">
        <v>927</v>
      </c>
    </row>
    <row r="587" spans="2:6" ht="15.75" customHeight="1">
      <c r="B587" s="3">
        <v>15904</v>
      </c>
      <c r="C587" s="3" t="s">
        <v>26</v>
      </c>
      <c r="D587" s="3" t="s">
        <v>53</v>
      </c>
      <c r="E587" s="3"/>
      <c r="F587" s="3" t="s">
        <v>928</v>
      </c>
    </row>
    <row r="588" spans="2:6" ht="15.75" customHeight="1">
      <c r="B588" s="3">
        <v>15905</v>
      </c>
      <c r="C588" s="3" t="s">
        <v>61</v>
      </c>
      <c r="D588" s="3" t="s">
        <v>89</v>
      </c>
      <c r="E588" s="3"/>
      <c r="F588" s="3" t="s">
        <v>929</v>
      </c>
    </row>
    <row r="589" spans="2:6" ht="15.75" customHeight="1">
      <c r="B589" s="3">
        <v>15906</v>
      </c>
      <c r="C589" s="3" t="s">
        <v>39</v>
      </c>
      <c r="D589" s="3" t="s">
        <v>33</v>
      </c>
      <c r="E589" s="3"/>
      <c r="F589" s="3" t="s">
        <v>930</v>
      </c>
    </row>
    <row r="590" spans="2:6" ht="15.75" customHeight="1">
      <c r="B590" s="3">
        <v>15907</v>
      </c>
      <c r="C590" s="3" t="s">
        <v>55</v>
      </c>
      <c r="D590" s="3" t="s">
        <v>20</v>
      </c>
      <c r="E590" s="3"/>
      <c r="F590" s="3" t="s">
        <v>931</v>
      </c>
    </row>
    <row r="591" spans="2:6" ht="15.75" customHeight="1">
      <c r="B591" s="3">
        <v>15908</v>
      </c>
      <c r="C591" s="3" t="s">
        <v>24</v>
      </c>
      <c r="D591" s="3" t="s">
        <v>28</v>
      </c>
      <c r="E591" s="3"/>
      <c r="F591" s="3" t="s">
        <v>932</v>
      </c>
    </row>
    <row r="592" spans="2:6" ht="15.75" customHeight="1">
      <c r="B592" s="3">
        <v>15909</v>
      </c>
      <c r="C592" s="3" t="s">
        <v>55</v>
      </c>
      <c r="D592" s="3" t="s">
        <v>83</v>
      </c>
      <c r="E592" s="3"/>
      <c r="F592" s="3" t="s">
        <v>933</v>
      </c>
    </row>
    <row r="593" spans="2:6" ht="15.75" customHeight="1">
      <c r="B593" s="3">
        <v>15910</v>
      </c>
      <c r="C593" s="3" t="s">
        <v>19</v>
      </c>
      <c r="D593" s="3" t="s">
        <v>89</v>
      </c>
      <c r="E593" s="3"/>
      <c r="F593" s="3" t="s">
        <v>934</v>
      </c>
    </row>
    <row r="594" spans="2:6" ht="15.75" customHeight="1">
      <c r="B594" s="3">
        <v>15911</v>
      </c>
      <c r="C594" s="3" t="s">
        <v>61</v>
      </c>
      <c r="D594" s="3" t="s">
        <v>28</v>
      </c>
      <c r="E594" s="3"/>
      <c r="F594" s="3" t="s">
        <v>935</v>
      </c>
    </row>
    <row r="595" spans="2:6" ht="15.75" customHeight="1">
      <c r="B595" s="3">
        <v>15912</v>
      </c>
      <c r="C595" s="3" t="s">
        <v>61</v>
      </c>
      <c r="D595" s="3" t="s">
        <v>28</v>
      </c>
      <c r="E595" s="3"/>
      <c r="F595" s="3" t="s">
        <v>936</v>
      </c>
    </row>
    <row r="596" spans="2:6" ht="15.75" customHeight="1">
      <c r="B596" s="3">
        <v>15913</v>
      </c>
      <c r="C596" s="3" t="s">
        <v>26</v>
      </c>
      <c r="D596" s="3" t="s">
        <v>53</v>
      </c>
      <c r="E596" s="3"/>
      <c r="F596" s="3" t="s">
        <v>937</v>
      </c>
    </row>
    <row r="597" spans="2:6" ht="15.75" customHeight="1">
      <c r="B597" s="3">
        <v>15914</v>
      </c>
      <c r="C597" s="3" t="s">
        <v>44</v>
      </c>
      <c r="D597" s="3" t="s">
        <v>53</v>
      </c>
      <c r="E597" s="3"/>
      <c r="F597" s="3" t="s">
        <v>938</v>
      </c>
    </row>
    <row r="598" spans="2:6" ht="15.75" customHeight="1">
      <c r="B598" s="3">
        <v>15915</v>
      </c>
      <c r="C598" s="3" t="s">
        <v>51</v>
      </c>
      <c r="D598" s="3" t="s">
        <v>75</v>
      </c>
      <c r="E598" s="3"/>
      <c r="F598" s="3" t="s">
        <v>939</v>
      </c>
    </row>
    <row r="599" spans="2:6" ht="15.75" customHeight="1">
      <c r="B599" s="3">
        <v>15916</v>
      </c>
      <c r="C599" s="3" t="s">
        <v>39</v>
      </c>
      <c r="D599" s="3" t="s">
        <v>83</v>
      </c>
      <c r="E599" s="3"/>
      <c r="F599" s="3" t="s">
        <v>940</v>
      </c>
    </row>
    <row r="600" spans="2:6" ht="15.75" customHeight="1">
      <c r="B600" s="3">
        <v>15917</v>
      </c>
      <c r="C600" s="3" t="s">
        <v>67</v>
      </c>
      <c r="D600" s="3" t="s">
        <v>49</v>
      </c>
      <c r="E600" s="3"/>
      <c r="F600" s="3" t="s">
        <v>941</v>
      </c>
    </row>
    <row r="601" spans="2:6" ht="15.75" customHeight="1">
      <c r="B601" s="3">
        <v>15918</v>
      </c>
      <c r="C601" s="3" t="s">
        <v>61</v>
      </c>
      <c r="D601" s="3" t="s">
        <v>20</v>
      </c>
      <c r="E601" s="3"/>
      <c r="F601" s="3" t="s">
        <v>942</v>
      </c>
    </row>
    <row r="602" spans="2:6" ht="15.75" customHeight="1">
      <c r="B602" s="3">
        <v>15919</v>
      </c>
      <c r="C602" s="3" t="s">
        <v>67</v>
      </c>
      <c r="D602" s="3" t="s">
        <v>57</v>
      </c>
      <c r="E602" s="3"/>
      <c r="F602" s="3" t="s">
        <v>943</v>
      </c>
    </row>
    <row r="603" spans="2:6" ht="15.75" customHeight="1">
      <c r="B603" s="3">
        <v>15920</v>
      </c>
      <c r="C603" s="3" t="s">
        <v>51</v>
      </c>
      <c r="D603" s="3" t="s">
        <v>49</v>
      </c>
      <c r="E603" s="3"/>
      <c r="F603" s="3" t="s">
        <v>944</v>
      </c>
    </row>
    <row r="604" spans="2:6" ht="15.75" customHeight="1">
      <c r="B604" s="3">
        <v>15921</v>
      </c>
      <c r="C604" s="3" t="s">
        <v>55</v>
      </c>
      <c r="D604" s="3" t="s">
        <v>46</v>
      </c>
      <c r="E604" s="3"/>
      <c r="F604" s="3" t="s">
        <v>945</v>
      </c>
    </row>
    <row r="605" spans="2:6" ht="15.75" customHeight="1">
      <c r="B605" s="3">
        <v>15922</v>
      </c>
      <c r="C605" s="3" t="s">
        <v>51</v>
      </c>
      <c r="D605" s="3" t="s">
        <v>46</v>
      </c>
      <c r="E605" s="3"/>
      <c r="F605" s="3" t="s">
        <v>946</v>
      </c>
    </row>
    <row r="606" spans="2:6" ht="15.75" customHeight="1">
      <c r="B606" s="3">
        <v>15923</v>
      </c>
      <c r="C606" s="3" t="s">
        <v>61</v>
      </c>
      <c r="D606" s="3" t="s">
        <v>89</v>
      </c>
      <c r="E606" s="3"/>
      <c r="F606" s="3" t="s">
        <v>947</v>
      </c>
    </row>
    <row r="607" spans="2:6" ht="15.75" customHeight="1">
      <c r="B607" s="3">
        <v>15924</v>
      </c>
      <c r="C607" s="3" t="s">
        <v>61</v>
      </c>
      <c r="D607" s="3" t="s">
        <v>33</v>
      </c>
      <c r="E607" s="3"/>
      <c r="F607" s="3" t="s">
        <v>948</v>
      </c>
    </row>
    <row r="608" spans="2:6" ht="15.75" customHeight="1">
      <c r="B608" s="3">
        <v>15925</v>
      </c>
      <c r="C608" s="3" t="s">
        <v>39</v>
      </c>
      <c r="D608" s="3" t="s">
        <v>57</v>
      </c>
      <c r="E608" s="3"/>
      <c r="F608" s="3" t="s">
        <v>949</v>
      </c>
    </row>
    <row r="609" spans="2:6" ht="15.75" customHeight="1">
      <c r="B609" s="3">
        <v>15926</v>
      </c>
      <c r="C609" s="3" t="s">
        <v>39</v>
      </c>
      <c r="D609" s="3" t="s">
        <v>89</v>
      </c>
      <c r="E609" s="3"/>
      <c r="F609" s="3" t="s">
        <v>950</v>
      </c>
    </row>
    <row r="610" spans="2:6" ht="15.75" customHeight="1">
      <c r="B610" s="3">
        <v>15927</v>
      </c>
      <c r="C610" s="3" t="s">
        <v>61</v>
      </c>
      <c r="D610" s="3" t="s">
        <v>46</v>
      </c>
      <c r="E610" s="3"/>
      <c r="F610" s="3" t="s">
        <v>951</v>
      </c>
    </row>
    <row r="611" spans="2:6" ht="15.75" customHeight="1">
      <c r="B611" s="3">
        <v>15928</v>
      </c>
      <c r="C611" s="3" t="s">
        <v>19</v>
      </c>
      <c r="D611" s="3" t="s">
        <v>28</v>
      </c>
      <c r="E611" s="3"/>
      <c r="F611" s="3" t="s">
        <v>952</v>
      </c>
    </row>
    <row r="612" spans="2:6" ht="15.75" customHeight="1">
      <c r="B612" s="3">
        <v>15929</v>
      </c>
      <c r="C612" s="3" t="s">
        <v>51</v>
      </c>
      <c r="D612" s="3" t="s">
        <v>53</v>
      </c>
      <c r="E612" s="3"/>
      <c r="F612" s="3" t="s">
        <v>953</v>
      </c>
    </row>
    <row r="613" spans="2:6" ht="15.75" customHeight="1">
      <c r="B613" s="3">
        <v>15930</v>
      </c>
      <c r="C613" s="3" t="s">
        <v>61</v>
      </c>
      <c r="D613" s="3" t="s">
        <v>53</v>
      </c>
      <c r="E613" s="3"/>
      <c r="F613" s="3" t="s">
        <v>954</v>
      </c>
    </row>
    <row r="614" spans="2:6" ht="15.75" customHeight="1">
      <c r="B614" s="3">
        <v>15931</v>
      </c>
      <c r="C614" s="3" t="s">
        <v>39</v>
      </c>
      <c r="D614" s="3" t="s">
        <v>20</v>
      </c>
      <c r="E614" s="3"/>
      <c r="F614" s="3" t="s">
        <v>955</v>
      </c>
    </row>
    <row r="615" spans="2:6" ht="15.75" customHeight="1">
      <c r="B615" s="3">
        <v>15932</v>
      </c>
      <c r="C615" s="3" t="s">
        <v>44</v>
      </c>
      <c r="D615" s="3" t="s">
        <v>28</v>
      </c>
      <c r="E615" s="3"/>
      <c r="F615" s="3" t="s">
        <v>956</v>
      </c>
    </row>
    <row r="616" spans="2:6" ht="15.75" customHeight="1">
      <c r="B616" s="3">
        <v>15933</v>
      </c>
      <c r="C616" s="3" t="s">
        <v>39</v>
      </c>
      <c r="D616" s="3" t="s">
        <v>28</v>
      </c>
      <c r="E616" s="3"/>
      <c r="F616" s="3" t="s">
        <v>957</v>
      </c>
    </row>
    <row r="617" spans="2:6" ht="15.75" customHeight="1">
      <c r="B617" s="3">
        <v>15934</v>
      </c>
      <c r="C617" s="3" t="s">
        <v>24</v>
      </c>
      <c r="D617" s="3" t="s">
        <v>33</v>
      </c>
      <c r="E617" s="3"/>
      <c r="F617" s="3" t="s">
        <v>958</v>
      </c>
    </row>
    <row r="618" spans="2:6" ht="15.75" customHeight="1">
      <c r="B618" s="3">
        <v>15935</v>
      </c>
      <c r="C618" s="3" t="s">
        <v>67</v>
      </c>
      <c r="D618" s="3" t="s">
        <v>83</v>
      </c>
      <c r="E618" s="3"/>
      <c r="F618" s="3" t="s">
        <v>959</v>
      </c>
    </row>
    <row r="619" spans="2:6" ht="15.75" customHeight="1">
      <c r="B619" s="3">
        <v>15936</v>
      </c>
      <c r="C619" s="3" t="s">
        <v>44</v>
      </c>
      <c r="D619" s="3" t="s">
        <v>53</v>
      </c>
      <c r="E619" s="3"/>
      <c r="F619" s="3" t="s">
        <v>960</v>
      </c>
    </row>
    <row r="620" spans="2:6" ht="15.75" customHeight="1">
      <c r="B620" s="3">
        <v>15937</v>
      </c>
      <c r="C620" s="3" t="s">
        <v>61</v>
      </c>
      <c r="D620" s="3" t="s">
        <v>33</v>
      </c>
      <c r="E620" s="3"/>
      <c r="F620" s="3" t="s">
        <v>961</v>
      </c>
    </row>
    <row r="621" spans="2:6" ht="15.75" customHeight="1">
      <c r="B621" s="3">
        <v>15938</v>
      </c>
      <c r="C621" s="3" t="s">
        <v>24</v>
      </c>
      <c r="D621" s="3" t="s">
        <v>20</v>
      </c>
      <c r="E621" s="3"/>
      <c r="F621" s="3" t="s">
        <v>962</v>
      </c>
    </row>
    <row r="622" spans="2:6" ht="15.75" customHeight="1">
      <c r="B622" s="3">
        <v>15939</v>
      </c>
      <c r="C622" s="3" t="s">
        <v>19</v>
      </c>
      <c r="D622" s="3" t="s">
        <v>53</v>
      </c>
      <c r="E622" s="3"/>
      <c r="F622" s="3" t="s">
        <v>963</v>
      </c>
    </row>
    <row r="623" spans="2:6" ht="15.75" customHeight="1">
      <c r="B623" s="3">
        <v>15940</v>
      </c>
      <c r="C623" s="3" t="s">
        <v>51</v>
      </c>
      <c r="D623" s="3" t="s">
        <v>49</v>
      </c>
      <c r="E623" s="3"/>
      <c r="F623" s="3" t="s">
        <v>964</v>
      </c>
    </row>
    <row r="624" spans="2:6" ht="15.75" customHeight="1">
      <c r="B624" s="3">
        <v>15941</v>
      </c>
      <c r="C624" s="3" t="s">
        <v>31</v>
      </c>
      <c r="D624" s="3" t="s">
        <v>57</v>
      </c>
      <c r="E624" s="3"/>
      <c r="F624" s="3" t="s">
        <v>965</v>
      </c>
    </row>
    <row r="625" spans="2:6" ht="15.75" customHeight="1">
      <c r="B625" s="3">
        <v>15942</v>
      </c>
      <c r="C625" s="3" t="s">
        <v>39</v>
      </c>
      <c r="D625" s="3" t="s">
        <v>46</v>
      </c>
      <c r="E625" s="3"/>
      <c r="F625" s="3" t="s">
        <v>966</v>
      </c>
    </row>
    <row r="626" spans="2:6" ht="15.75" customHeight="1">
      <c r="B626" s="3">
        <v>15943</v>
      </c>
      <c r="C626" s="3" t="s">
        <v>24</v>
      </c>
      <c r="D626" s="3" t="s">
        <v>89</v>
      </c>
      <c r="E626" s="3"/>
      <c r="F626" s="3" t="s">
        <v>967</v>
      </c>
    </row>
    <row r="627" spans="2:6" ht="15.75" customHeight="1">
      <c r="B627" s="3">
        <v>15944</v>
      </c>
      <c r="C627" s="3" t="s">
        <v>61</v>
      </c>
      <c r="D627" s="3" t="s">
        <v>20</v>
      </c>
      <c r="E627" s="3"/>
      <c r="F627" s="3" t="s">
        <v>968</v>
      </c>
    </row>
    <row r="628" spans="2:6" ht="15.75" customHeight="1">
      <c r="B628" s="3">
        <v>15945</v>
      </c>
      <c r="C628" s="3" t="s">
        <v>51</v>
      </c>
      <c r="D628" s="3" t="s">
        <v>83</v>
      </c>
      <c r="E628" s="3"/>
      <c r="F628" s="3" t="s">
        <v>969</v>
      </c>
    </row>
    <row r="629" spans="2:6" ht="15.75" customHeight="1">
      <c r="B629" s="3">
        <v>15946</v>
      </c>
      <c r="C629" s="3" t="s">
        <v>55</v>
      </c>
      <c r="D629" s="3" t="s">
        <v>33</v>
      </c>
      <c r="E629" s="3"/>
      <c r="F629" s="3" t="s">
        <v>970</v>
      </c>
    </row>
    <row r="630" spans="2:6" ht="15.75" customHeight="1">
      <c r="B630" s="3">
        <v>15947</v>
      </c>
      <c r="C630" s="3" t="s">
        <v>67</v>
      </c>
      <c r="D630" s="3" t="s">
        <v>57</v>
      </c>
      <c r="E630" s="3"/>
      <c r="F630" s="3" t="s">
        <v>971</v>
      </c>
    </row>
    <row r="631" spans="2:6" ht="15.75" customHeight="1">
      <c r="B631" s="3">
        <v>15948</v>
      </c>
      <c r="C631" s="3" t="s">
        <v>19</v>
      </c>
      <c r="D631" s="3" t="s">
        <v>28</v>
      </c>
      <c r="E631" s="3"/>
      <c r="F631" s="3" t="s">
        <v>972</v>
      </c>
    </row>
    <row r="632" spans="2:6" ht="15.75" customHeight="1">
      <c r="B632" s="3">
        <v>15949</v>
      </c>
      <c r="C632" s="3" t="s">
        <v>55</v>
      </c>
      <c r="D632" s="3" t="s">
        <v>57</v>
      </c>
      <c r="E632" s="3"/>
      <c r="F632" s="3" t="s">
        <v>973</v>
      </c>
    </row>
    <row r="633" spans="2:6" ht="15.75" customHeight="1">
      <c r="B633" s="3">
        <v>15950</v>
      </c>
      <c r="C633" s="3" t="s">
        <v>39</v>
      </c>
      <c r="D633" s="3" t="s">
        <v>89</v>
      </c>
      <c r="E633" s="3"/>
      <c r="F633" s="3" t="s">
        <v>974</v>
      </c>
    </row>
    <row r="634" spans="2:6" ht="15.75" customHeight="1">
      <c r="B634" s="3">
        <v>15951</v>
      </c>
      <c r="C634" s="3" t="s">
        <v>31</v>
      </c>
      <c r="D634" s="3" t="s">
        <v>33</v>
      </c>
      <c r="E634" s="3"/>
      <c r="F634" s="3" t="s">
        <v>975</v>
      </c>
    </row>
    <row r="635" spans="2:6" ht="15.75" customHeight="1">
      <c r="B635" s="3">
        <v>15952</v>
      </c>
      <c r="C635" s="3" t="s">
        <v>44</v>
      </c>
      <c r="D635" s="3" t="s">
        <v>28</v>
      </c>
      <c r="E635" s="3"/>
      <c r="F635" s="3" t="s">
        <v>976</v>
      </c>
    </row>
    <row r="636" spans="2:6" ht="15.75" customHeight="1">
      <c r="B636" s="3">
        <v>15953</v>
      </c>
      <c r="C636" s="3" t="s">
        <v>67</v>
      </c>
      <c r="D636" s="3" t="s">
        <v>20</v>
      </c>
      <c r="E636" s="3"/>
      <c r="F636" s="3" t="s">
        <v>977</v>
      </c>
    </row>
    <row r="637" spans="2:6" ht="15.75" customHeight="1">
      <c r="B637" s="3">
        <v>15954</v>
      </c>
      <c r="C637" s="3" t="s">
        <v>26</v>
      </c>
      <c r="D637" s="3" t="s">
        <v>75</v>
      </c>
      <c r="E637" s="3"/>
      <c r="F637" s="3" t="s">
        <v>978</v>
      </c>
    </row>
    <row r="638" spans="2:6" ht="15.75" customHeight="1">
      <c r="B638" s="3">
        <v>15955</v>
      </c>
      <c r="C638" s="3" t="s">
        <v>39</v>
      </c>
      <c r="D638" s="3" t="s">
        <v>89</v>
      </c>
      <c r="E638" s="3"/>
      <c r="F638" s="3" t="s">
        <v>979</v>
      </c>
    </row>
    <row r="639" spans="2:6" ht="15.75" customHeight="1">
      <c r="B639" s="3">
        <v>15956</v>
      </c>
      <c r="C639" s="3" t="s">
        <v>26</v>
      </c>
      <c r="D639" s="3" t="s">
        <v>49</v>
      </c>
      <c r="E639" s="3"/>
      <c r="F639" s="3" t="s">
        <v>980</v>
      </c>
    </row>
    <row r="640" spans="2:6" ht="15.75" customHeight="1">
      <c r="B640" s="3">
        <v>15957</v>
      </c>
      <c r="C640" s="3" t="s">
        <v>61</v>
      </c>
      <c r="D640" s="3" t="s">
        <v>57</v>
      </c>
      <c r="E640" s="3"/>
      <c r="F640" s="3" t="s">
        <v>981</v>
      </c>
    </row>
    <row r="641" spans="2:6" ht="15.75" customHeight="1">
      <c r="B641" s="3">
        <v>15958</v>
      </c>
      <c r="C641" s="3" t="s">
        <v>51</v>
      </c>
      <c r="D641" s="3" t="s">
        <v>28</v>
      </c>
      <c r="E641" s="3"/>
      <c r="F641" s="3" t="s">
        <v>982</v>
      </c>
    </row>
    <row r="642" spans="2:6" ht="15.75" customHeight="1">
      <c r="B642" s="3">
        <v>15959</v>
      </c>
      <c r="C642" s="3" t="s">
        <v>55</v>
      </c>
      <c r="D642" s="3" t="s">
        <v>46</v>
      </c>
      <c r="E642" s="3"/>
      <c r="F642" s="3" t="s">
        <v>983</v>
      </c>
    </row>
    <row r="643" spans="2:6" ht="15.75" customHeight="1">
      <c r="B643" s="3">
        <v>15960</v>
      </c>
      <c r="C643" s="3" t="s">
        <v>61</v>
      </c>
      <c r="D643" s="3" t="s">
        <v>28</v>
      </c>
      <c r="E643" s="3"/>
      <c r="F643" s="3" t="s">
        <v>984</v>
      </c>
    </row>
    <row r="644" spans="2:6" ht="15.75" customHeight="1">
      <c r="B644" s="3">
        <v>15961</v>
      </c>
      <c r="C644" s="3" t="s">
        <v>31</v>
      </c>
      <c r="D644" s="3" t="s">
        <v>46</v>
      </c>
      <c r="E644" s="3"/>
      <c r="F644" s="3" t="s">
        <v>985</v>
      </c>
    </row>
    <row r="645" spans="2:6" ht="15.75" customHeight="1">
      <c r="B645" s="3">
        <v>15962</v>
      </c>
      <c r="C645" s="3" t="s">
        <v>55</v>
      </c>
      <c r="D645" s="3" t="s">
        <v>46</v>
      </c>
      <c r="E645" s="3"/>
      <c r="F645" s="3" t="s">
        <v>986</v>
      </c>
    </row>
    <row r="646" spans="2:6" ht="15.75" customHeight="1">
      <c r="B646" s="3">
        <v>15963</v>
      </c>
      <c r="C646" s="3" t="s">
        <v>26</v>
      </c>
      <c r="D646" s="3" t="s">
        <v>28</v>
      </c>
      <c r="E646" s="3"/>
      <c r="F646" s="3" t="s">
        <v>987</v>
      </c>
    </row>
    <row r="647" spans="2:6" ht="15.75" customHeight="1">
      <c r="B647" s="3">
        <v>15964</v>
      </c>
      <c r="C647" s="3" t="s">
        <v>26</v>
      </c>
      <c r="D647" s="3" t="s">
        <v>89</v>
      </c>
      <c r="E647" s="3"/>
      <c r="F647" s="3" t="s">
        <v>988</v>
      </c>
    </row>
    <row r="648" spans="2:6" ht="15.75" customHeight="1">
      <c r="B648" s="3">
        <v>15965</v>
      </c>
      <c r="C648" s="3" t="s">
        <v>61</v>
      </c>
      <c r="D648" s="3" t="s">
        <v>46</v>
      </c>
      <c r="E648" s="3"/>
      <c r="F648" s="3" t="s">
        <v>989</v>
      </c>
    </row>
    <row r="649" spans="2:6" ht="15.75" customHeight="1">
      <c r="B649" s="3">
        <v>15966</v>
      </c>
      <c r="C649" s="3" t="s">
        <v>31</v>
      </c>
      <c r="D649" s="3" t="s">
        <v>57</v>
      </c>
      <c r="E649" s="3"/>
      <c r="F649" s="3" t="s">
        <v>990</v>
      </c>
    </row>
    <row r="650" spans="2:6" ht="15.75" customHeight="1">
      <c r="B650" s="3">
        <v>15967</v>
      </c>
      <c r="C650" s="3" t="s">
        <v>39</v>
      </c>
      <c r="D650" s="3" t="s">
        <v>75</v>
      </c>
      <c r="E650" s="3"/>
      <c r="F650" s="3" t="s">
        <v>991</v>
      </c>
    </row>
    <row r="651" spans="2:6" ht="15.75" customHeight="1">
      <c r="B651" s="3">
        <v>15968</v>
      </c>
      <c r="C651" s="3" t="s">
        <v>55</v>
      </c>
      <c r="D651" s="3" t="s">
        <v>83</v>
      </c>
      <c r="E651" s="3"/>
      <c r="F651" s="3" t="s">
        <v>992</v>
      </c>
    </row>
    <row r="652" spans="2:6" ht="15.75" customHeight="1">
      <c r="B652" s="3">
        <v>15969</v>
      </c>
      <c r="C652" s="3" t="s">
        <v>24</v>
      </c>
      <c r="D652" s="3" t="s">
        <v>89</v>
      </c>
      <c r="E652" s="3"/>
      <c r="F652" s="3" t="s">
        <v>993</v>
      </c>
    </row>
    <row r="653" spans="2:6" ht="15.75" customHeight="1">
      <c r="B653" s="3">
        <v>15970</v>
      </c>
      <c r="C653" s="3" t="s">
        <v>67</v>
      </c>
      <c r="D653" s="3" t="s">
        <v>20</v>
      </c>
      <c r="E653" s="3"/>
      <c r="F653" s="3" t="s">
        <v>994</v>
      </c>
    </row>
    <row r="654" spans="2:6" ht="15.75" customHeight="1">
      <c r="B654" s="3">
        <v>15971</v>
      </c>
      <c r="C654" s="3" t="s">
        <v>44</v>
      </c>
      <c r="D654" s="3" t="s">
        <v>57</v>
      </c>
      <c r="E654" s="3"/>
      <c r="F654" s="3" t="s">
        <v>995</v>
      </c>
    </row>
    <row r="655" spans="2:6" ht="15.75" customHeight="1">
      <c r="B655" s="3">
        <v>15972</v>
      </c>
      <c r="C655" s="3" t="s">
        <v>31</v>
      </c>
      <c r="D655" s="3" t="s">
        <v>83</v>
      </c>
      <c r="E655" s="3"/>
      <c r="F655" s="3" t="s">
        <v>996</v>
      </c>
    </row>
    <row r="656" spans="2:6" ht="15.75" customHeight="1">
      <c r="B656" s="3">
        <v>15973</v>
      </c>
      <c r="C656" s="3" t="s">
        <v>67</v>
      </c>
      <c r="D656" s="3" t="s">
        <v>53</v>
      </c>
      <c r="E656" s="3"/>
      <c r="F656" s="3" t="s">
        <v>997</v>
      </c>
    </row>
    <row r="657" spans="2:6" ht="15.75" customHeight="1">
      <c r="B657" s="3">
        <v>15974</v>
      </c>
      <c r="C657" s="3" t="s">
        <v>39</v>
      </c>
      <c r="D657" s="3" t="s">
        <v>20</v>
      </c>
      <c r="E657" s="3"/>
      <c r="F657" s="3" t="s">
        <v>998</v>
      </c>
    </row>
    <row r="658" spans="2:6" ht="15.75" customHeight="1">
      <c r="B658" s="3">
        <v>15975</v>
      </c>
      <c r="C658" s="3" t="s">
        <v>61</v>
      </c>
      <c r="D658" s="3" t="s">
        <v>33</v>
      </c>
      <c r="E658" s="3"/>
      <c r="F658" s="3" t="s">
        <v>999</v>
      </c>
    </row>
    <row r="659" spans="2:6" ht="15.75" customHeight="1">
      <c r="B659" s="3">
        <v>15976</v>
      </c>
      <c r="C659" s="3" t="s">
        <v>19</v>
      </c>
      <c r="D659" s="3" t="s">
        <v>75</v>
      </c>
      <c r="E659" s="3"/>
      <c r="F659" s="3" t="s">
        <v>1000</v>
      </c>
    </row>
    <row r="660" spans="2:6" ht="15.75" customHeight="1">
      <c r="B660" s="3">
        <v>15977</v>
      </c>
      <c r="C660" s="3" t="s">
        <v>24</v>
      </c>
      <c r="D660" s="3" t="s">
        <v>75</v>
      </c>
      <c r="E660" s="3"/>
      <c r="F660" s="3" t="s">
        <v>1001</v>
      </c>
    </row>
    <row r="661" spans="2:6" ht="15.75" customHeight="1">
      <c r="B661" s="3">
        <v>15978</v>
      </c>
      <c r="C661" s="3" t="s">
        <v>39</v>
      </c>
      <c r="D661" s="3" t="s">
        <v>46</v>
      </c>
      <c r="E661" s="3"/>
      <c r="F661" s="3" t="s">
        <v>1002</v>
      </c>
    </row>
    <row r="662" spans="2:6" ht="15.75" customHeight="1">
      <c r="B662" s="3">
        <v>15979</v>
      </c>
      <c r="C662" s="3" t="s">
        <v>31</v>
      </c>
      <c r="D662" s="3" t="s">
        <v>57</v>
      </c>
      <c r="E662" s="3"/>
      <c r="F662" s="3" t="s">
        <v>1003</v>
      </c>
    </row>
    <row r="663" spans="2:6" ht="15.75" customHeight="1">
      <c r="B663" s="3">
        <v>15980</v>
      </c>
      <c r="C663" s="3" t="s">
        <v>24</v>
      </c>
      <c r="D663" s="3" t="s">
        <v>75</v>
      </c>
      <c r="E663" s="3"/>
      <c r="F663" s="3" t="s">
        <v>1004</v>
      </c>
    </row>
    <row r="664" spans="2:6" ht="15.75" customHeight="1">
      <c r="B664" s="3">
        <v>15981</v>
      </c>
      <c r="C664" s="3" t="s">
        <v>61</v>
      </c>
      <c r="D664" s="3" t="s">
        <v>53</v>
      </c>
      <c r="E664" s="3"/>
      <c r="F664" s="3" t="s">
        <v>1005</v>
      </c>
    </row>
    <row r="665" spans="2:6" ht="15.75" customHeight="1">
      <c r="B665" s="3">
        <v>15982</v>
      </c>
      <c r="C665" s="3" t="s">
        <v>39</v>
      </c>
      <c r="D665" s="3" t="s">
        <v>28</v>
      </c>
      <c r="E665" s="3"/>
      <c r="F665" s="3" t="s">
        <v>1006</v>
      </c>
    </row>
    <row r="666" spans="2:6" ht="15.75" customHeight="1">
      <c r="B666" s="3">
        <v>15983</v>
      </c>
      <c r="C666" s="3" t="s">
        <v>31</v>
      </c>
      <c r="D666" s="3" t="s">
        <v>89</v>
      </c>
      <c r="E666" s="3"/>
      <c r="F666" s="3" t="s">
        <v>1007</v>
      </c>
    </row>
    <row r="667" spans="2:6" ht="15.75" customHeight="1">
      <c r="B667" s="3">
        <v>15984</v>
      </c>
      <c r="C667" s="3" t="s">
        <v>26</v>
      </c>
      <c r="D667" s="3" t="s">
        <v>46</v>
      </c>
      <c r="E667" s="3"/>
      <c r="F667" s="3" t="s">
        <v>1008</v>
      </c>
    </row>
    <row r="668" spans="2:6" ht="15.75" customHeight="1">
      <c r="B668" s="3">
        <v>15985</v>
      </c>
      <c r="C668" s="3" t="s">
        <v>26</v>
      </c>
      <c r="D668" s="3" t="s">
        <v>28</v>
      </c>
      <c r="E668" s="3"/>
      <c r="F668" s="3" t="s">
        <v>1009</v>
      </c>
    </row>
    <row r="669" spans="2:6" ht="15.75" customHeight="1">
      <c r="B669" s="3">
        <v>15986</v>
      </c>
      <c r="C669" s="3" t="s">
        <v>26</v>
      </c>
      <c r="D669" s="3" t="s">
        <v>49</v>
      </c>
      <c r="E669" s="3"/>
      <c r="F669" s="3" t="s">
        <v>1010</v>
      </c>
    </row>
    <row r="670" spans="2:6" ht="15.75" customHeight="1">
      <c r="B670" s="3">
        <v>15987</v>
      </c>
      <c r="C670" s="3" t="s">
        <v>61</v>
      </c>
      <c r="D670" s="3" t="s">
        <v>20</v>
      </c>
      <c r="E670" s="3"/>
      <c r="F670" s="3" t="s">
        <v>1011</v>
      </c>
    </row>
    <row r="671" spans="2:6" ht="15.75" customHeight="1">
      <c r="B671" s="3">
        <v>15988</v>
      </c>
      <c r="C671" s="3" t="s">
        <v>51</v>
      </c>
      <c r="D671" s="3" t="s">
        <v>53</v>
      </c>
      <c r="E671" s="3"/>
      <c r="F671" s="3" t="s">
        <v>1012</v>
      </c>
    </row>
    <row r="672" spans="2:6" ht="15.75" customHeight="1">
      <c r="B672" s="3">
        <v>15989</v>
      </c>
      <c r="C672" s="3" t="s">
        <v>19</v>
      </c>
      <c r="D672" s="3" t="s">
        <v>46</v>
      </c>
      <c r="E672" s="3"/>
      <c r="F672" s="3" t="s">
        <v>1013</v>
      </c>
    </row>
    <row r="673" spans="2:6" ht="15.75" customHeight="1">
      <c r="B673" s="3">
        <v>15990</v>
      </c>
      <c r="C673" s="3" t="s">
        <v>24</v>
      </c>
      <c r="D673" s="3" t="s">
        <v>49</v>
      </c>
      <c r="E673" s="3"/>
      <c r="F673" s="3" t="s">
        <v>1014</v>
      </c>
    </row>
    <row r="674" spans="2:6" ht="15.75" customHeight="1">
      <c r="B674" s="3">
        <v>15991</v>
      </c>
      <c r="C674" s="3" t="s">
        <v>39</v>
      </c>
      <c r="D674" s="3" t="s">
        <v>28</v>
      </c>
      <c r="E674" s="3"/>
      <c r="F674" s="3" t="s">
        <v>1015</v>
      </c>
    </row>
    <row r="675" spans="2:6" ht="15.75" customHeight="1">
      <c r="B675" s="3">
        <v>15992</v>
      </c>
      <c r="C675" s="3" t="s">
        <v>67</v>
      </c>
      <c r="D675" s="3" t="s">
        <v>83</v>
      </c>
      <c r="E675" s="3"/>
      <c r="F675" s="3" t="s">
        <v>1016</v>
      </c>
    </row>
    <row r="676" spans="2:6" ht="15.75" customHeight="1">
      <c r="B676" s="3">
        <v>15993</v>
      </c>
      <c r="C676" s="3" t="s">
        <v>39</v>
      </c>
      <c r="D676" s="3" t="s">
        <v>46</v>
      </c>
      <c r="E676" s="3"/>
      <c r="F676" s="3" t="s">
        <v>1017</v>
      </c>
    </row>
    <row r="677" spans="2:6" ht="15.75" customHeight="1">
      <c r="B677" s="3">
        <v>15994</v>
      </c>
      <c r="C677" s="3" t="s">
        <v>55</v>
      </c>
      <c r="D677" s="3" t="s">
        <v>53</v>
      </c>
      <c r="E677" s="3"/>
      <c r="F677" s="3" t="s">
        <v>1018</v>
      </c>
    </row>
    <row r="678" spans="2:6" ht="15.75" customHeight="1">
      <c r="B678" s="3">
        <v>15995</v>
      </c>
      <c r="C678" s="3" t="s">
        <v>51</v>
      </c>
      <c r="D678" s="3" t="s">
        <v>53</v>
      </c>
      <c r="E678" s="3"/>
      <c r="F678" s="3" t="s">
        <v>1019</v>
      </c>
    </row>
    <row r="679" spans="2:6" ht="15.75" customHeight="1">
      <c r="B679" s="3">
        <v>15996</v>
      </c>
      <c r="C679" s="3" t="s">
        <v>55</v>
      </c>
      <c r="D679" s="3" t="s">
        <v>46</v>
      </c>
      <c r="E679" s="3"/>
      <c r="F679" s="3" t="s">
        <v>1020</v>
      </c>
    </row>
    <row r="680" spans="2:6" ht="15.75" customHeight="1">
      <c r="B680" s="3">
        <v>15997</v>
      </c>
      <c r="C680" s="3" t="s">
        <v>51</v>
      </c>
      <c r="D680" s="3" t="s">
        <v>49</v>
      </c>
      <c r="E680" s="3"/>
      <c r="F680" s="3" t="s">
        <v>1021</v>
      </c>
    </row>
    <row r="681" spans="2:6" ht="15.75" customHeight="1">
      <c r="B681" s="3">
        <v>15998</v>
      </c>
      <c r="C681" s="3" t="s">
        <v>19</v>
      </c>
      <c r="D681" s="3" t="s">
        <v>57</v>
      </c>
      <c r="E681" s="3"/>
      <c r="F681" s="3" t="s">
        <v>1022</v>
      </c>
    </row>
    <row r="682" spans="2:6" ht="15.75" customHeight="1">
      <c r="B682" s="3">
        <v>15999</v>
      </c>
      <c r="C682" s="3" t="s">
        <v>39</v>
      </c>
      <c r="D682" s="3" t="s">
        <v>89</v>
      </c>
      <c r="E682" s="3"/>
      <c r="F682" s="3" t="s">
        <v>1023</v>
      </c>
    </row>
    <row r="683" spans="2:6" ht="15.75" customHeight="1">
      <c r="B683" s="3">
        <v>16000</v>
      </c>
      <c r="C683" s="3" t="s">
        <v>67</v>
      </c>
      <c r="D683" s="3" t="s">
        <v>46</v>
      </c>
      <c r="E683" s="3"/>
      <c r="F683" s="3" t="s">
        <v>1024</v>
      </c>
    </row>
    <row r="684" spans="2:6" ht="15.75" customHeight="1">
      <c r="B684" s="3">
        <v>16001</v>
      </c>
      <c r="C684" s="3" t="s">
        <v>61</v>
      </c>
      <c r="D684" s="3" t="s">
        <v>49</v>
      </c>
      <c r="E684" s="3"/>
      <c r="F684" s="3" t="s">
        <v>1025</v>
      </c>
    </row>
    <row r="685" spans="2:6" ht="15.75" customHeight="1">
      <c r="B685" s="3">
        <v>16002</v>
      </c>
      <c r="C685" s="3" t="s">
        <v>31</v>
      </c>
      <c r="D685" s="3" t="s">
        <v>75</v>
      </c>
      <c r="E685" s="3"/>
      <c r="F685" s="3" t="s">
        <v>1026</v>
      </c>
    </row>
    <row r="686" spans="2:6" ht="15.75" customHeight="1">
      <c r="B686" s="3">
        <v>16003</v>
      </c>
      <c r="C686" s="3" t="s">
        <v>61</v>
      </c>
      <c r="D686" s="3" t="s">
        <v>75</v>
      </c>
      <c r="E686" s="3"/>
      <c r="F686" s="3" t="s">
        <v>1027</v>
      </c>
    </row>
    <row r="687" spans="2:6" ht="15.75" customHeight="1">
      <c r="B687" s="3">
        <v>16004</v>
      </c>
      <c r="C687" s="3" t="s">
        <v>39</v>
      </c>
      <c r="D687" s="3" t="s">
        <v>49</v>
      </c>
      <c r="E687" s="3"/>
      <c r="F687" s="3" t="s">
        <v>1028</v>
      </c>
    </row>
    <row r="688" spans="2:6" ht="15.75" customHeight="1">
      <c r="B688" s="3">
        <v>16005</v>
      </c>
      <c r="C688" s="3" t="s">
        <v>19</v>
      </c>
      <c r="D688" s="3" t="s">
        <v>28</v>
      </c>
      <c r="E688" s="3"/>
      <c r="F688" s="3" t="s">
        <v>1029</v>
      </c>
    </row>
    <row r="689" spans="2:6" ht="15.75" customHeight="1">
      <c r="B689" s="3">
        <v>16006</v>
      </c>
      <c r="C689" s="3" t="s">
        <v>31</v>
      </c>
      <c r="D689" s="3" t="s">
        <v>49</v>
      </c>
      <c r="E689" s="3"/>
      <c r="F689" s="3" t="s">
        <v>1030</v>
      </c>
    </row>
    <row r="690" spans="2:6" ht="15.75" customHeight="1">
      <c r="B690" s="3">
        <v>16007</v>
      </c>
      <c r="C690" s="3" t="s">
        <v>39</v>
      </c>
      <c r="D690" s="3" t="s">
        <v>33</v>
      </c>
      <c r="E690" s="3"/>
      <c r="F690" s="3" t="s">
        <v>1031</v>
      </c>
    </row>
    <row r="691" spans="2:6" ht="15.75" customHeight="1">
      <c r="B691" s="3">
        <v>16008</v>
      </c>
      <c r="C691" s="3" t="s">
        <v>19</v>
      </c>
      <c r="D691" s="3" t="s">
        <v>89</v>
      </c>
      <c r="E691" s="3"/>
      <c r="F691" s="3" t="s">
        <v>1032</v>
      </c>
    </row>
    <row r="692" spans="2:6" ht="15.75" customHeight="1">
      <c r="B692" s="3">
        <v>16009</v>
      </c>
      <c r="C692" s="3" t="s">
        <v>67</v>
      </c>
      <c r="D692" s="3" t="s">
        <v>49</v>
      </c>
      <c r="E692" s="3"/>
      <c r="F692" s="3" t="s">
        <v>1033</v>
      </c>
    </row>
    <row r="693" spans="2:6" ht="15.75" customHeight="1">
      <c r="B693" s="3">
        <v>16010</v>
      </c>
      <c r="C693" s="3" t="s">
        <v>61</v>
      </c>
      <c r="D693" s="3" t="s">
        <v>46</v>
      </c>
      <c r="E693" s="3"/>
      <c r="F693" s="3" t="s">
        <v>1034</v>
      </c>
    </row>
    <row r="694" spans="2:6" ht="15.75" customHeight="1">
      <c r="B694" s="3">
        <v>16011</v>
      </c>
      <c r="C694" s="3" t="s">
        <v>39</v>
      </c>
      <c r="D694" s="3" t="s">
        <v>20</v>
      </c>
      <c r="E694" s="3"/>
      <c r="F694" s="3" t="s">
        <v>1035</v>
      </c>
    </row>
    <row r="695" spans="2:6" ht="15.75" customHeight="1">
      <c r="B695" s="3">
        <v>16012</v>
      </c>
      <c r="C695" s="3" t="s">
        <v>51</v>
      </c>
      <c r="D695" s="3" t="s">
        <v>28</v>
      </c>
      <c r="E695" s="3"/>
      <c r="F695" s="3" t="s">
        <v>1036</v>
      </c>
    </row>
    <row r="696" spans="2:6" ht="15.75" customHeight="1">
      <c r="B696" s="3">
        <v>16013</v>
      </c>
      <c r="C696" s="3" t="s">
        <v>67</v>
      </c>
      <c r="D696" s="3" t="s">
        <v>49</v>
      </c>
      <c r="E696" s="3"/>
      <c r="F696" s="3" t="s">
        <v>1037</v>
      </c>
    </row>
    <row r="697" spans="2:6" ht="15.75" customHeight="1">
      <c r="B697" s="3">
        <v>16014</v>
      </c>
      <c r="C697" s="3" t="s">
        <v>31</v>
      </c>
      <c r="D697" s="3" t="s">
        <v>75</v>
      </c>
      <c r="E697" s="3"/>
      <c r="F697" s="3" t="s">
        <v>1038</v>
      </c>
    </row>
    <row r="698" spans="2:6" ht="15.75" customHeight="1">
      <c r="B698" s="3">
        <v>16015</v>
      </c>
      <c r="C698" s="3" t="s">
        <v>26</v>
      </c>
      <c r="D698" s="3" t="s">
        <v>83</v>
      </c>
      <c r="E698" s="3"/>
      <c r="F698" s="3" t="s">
        <v>1039</v>
      </c>
    </row>
    <row r="699" spans="2:6" ht="15.75" customHeight="1">
      <c r="B699" s="3">
        <v>16016</v>
      </c>
      <c r="C699" s="3" t="s">
        <v>26</v>
      </c>
      <c r="D699" s="3" t="s">
        <v>20</v>
      </c>
      <c r="E699" s="3"/>
      <c r="F699" s="3" t="s">
        <v>1040</v>
      </c>
    </row>
    <row r="700" spans="2:6" ht="15.75" customHeight="1">
      <c r="B700" s="3">
        <v>16017</v>
      </c>
      <c r="C700" s="3" t="s">
        <v>39</v>
      </c>
      <c r="D700" s="3" t="s">
        <v>75</v>
      </c>
      <c r="E700" s="3"/>
      <c r="F700" s="3" t="s">
        <v>1041</v>
      </c>
    </row>
    <row r="701" spans="2:6" ht="15.75" customHeight="1">
      <c r="B701" s="3">
        <v>16018</v>
      </c>
      <c r="C701" s="3" t="s">
        <v>51</v>
      </c>
      <c r="D701" s="3" t="s">
        <v>83</v>
      </c>
      <c r="E701" s="3"/>
      <c r="F701" s="3" t="s">
        <v>1042</v>
      </c>
    </row>
    <row r="702" spans="2:6" ht="15.75" customHeight="1">
      <c r="B702" s="3">
        <v>16019</v>
      </c>
      <c r="C702" s="3" t="s">
        <v>51</v>
      </c>
      <c r="D702" s="3" t="s">
        <v>89</v>
      </c>
      <c r="E702" s="3"/>
      <c r="F702" s="3" t="s">
        <v>1043</v>
      </c>
    </row>
    <row r="703" spans="2:6" ht="15.75" customHeight="1">
      <c r="B703" s="3">
        <v>16020</v>
      </c>
      <c r="C703" s="3" t="s">
        <v>31</v>
      </c>
      <c r="D703" s="3" t="s">
        <v>20</v>
      </c>
      <c r="E703" s="3"/>
      <c r="F703" s="3" t="s">
        <v>1044</v>
      </c>
    </row>
    <row r="704" spans="2:6" ht="15.75" customHeight="1">
      <c r="B704" s="3">
        <v>16021</v>
      </c>
      <c r="C704" s="3" t="s">
        <v>19</v>
      </c>
      <c r="D704" s="3" t="s">
        <v>49</v>
      </c>
      <c r="E704" s="3"/>
      <c r="F704" s="3" t="s">
        <v>1045</v>
      </c>
    </row>
    <row r="705" spans="2:6" ht="15.75" customHeight="1">
      <c r="B705" s="3">
        <v>16022</v>
      </c>
      <c r="C705" s="3" t="s">
        <v>55</v>
      </c>
      <c r="D705" s="3" t="s">
        <v>28</v>
      </c>
      <c r="E705" s="3"/>
      <c r="F705" s="3" t="s">
        <v>1046</v>
      </c>
    </row>
    <row r="706" spans="2:6" ht="15.75" customHeight="1">
      <c r="B706" s="3">
        <v>16023</v>
      </c>
      <c r="C706" s="3" t="s">
        <v>39</v>
      </c>
      <c r="D706" s="3" t="s">
        <v>33</v>
      </c>
      <c r="E706" s="3"/>
      <c r="F706" s="3" t="s">
        <v>1047</v>
      </c>
    </row>
    <row r="707" spans="2:6" ht="15.75" customHeight="1">
      <c r="B707" s="3">
        <v>16024</v>
      </c>
      <c r="C707" s="3" t="s">
        <v>44</v>
      </c>
      <c r="D707" s="3" t="s">
        <v>89</v>
      </c>
      <c r="E707" s="3"/>
      <c r="F707" s="3" t="s">
        <v>1048</v>
      </c>
    </row>
    <row r="708" spans="2:6" ht="15.75" customHeight="1">
      <c r="B708" s="3">
        <v>16025</v>
      </c>
      <c r="C708" s="3" t="s">
        <v>67</v>
      </c>
      <c r="D708" s="3" t="s">
        <v>89</v>
      </c>
      <c r="E708" s="3"/>
      <c r="F708" s="3" t="s">
        <v>1049</v>
      </c>
    </row>
    <row r="709" spans="2:6" ht="15.75" customHeight="1">
      <c r="B709" s="3">
        <v>16026</v>
      </c>
      <c r="C709" s="3" t="s">
        <v>19</v>
      </c>
      <c r="D709" s="3" t="s">
        <v>46</v>
      </c>
      <c r="E709" s="3"/>
      <c r="F709" s="3" t="s">
        <v>1050</v>
      </c>
    </row>
    <row r="710" spans="2:6" ht="15.75" customHeight="1">
      <c r="B710" s="3">
        <v>16027</v>
      </c>
      <c r="C710" s="3" t="s">
        <v>55</v>
      </c>
      <c r="D710" s="3" t="s">
        <v>28</v>
      </c>
      <c r="E710" s="3"/>
      <c r="F710" s="3" t="s">
        <v>1051</v>
      </c>
    </row>
    <row r="711" spans="2:6" ht="15.75" customHeight="1">
      <c r="B711" s="3">
        <v>16028</v>
      </c>
      <c r="C711" s="3" t="s">
        <v>24</v>
      </c>
      <c r="D711" s="3" t="s">
        <v>75</v>
      </c>
      <c r="E711" s="3"/>
      <c r="F711" s="3" t="s">
        <v>1052</v>
      </c>
    </row>
    <row r="712" spans="2:6" ht="15.75" customHeight="1">
      <c r="B712" s="3">
        <v>16029</v>
      </c>
      <c r="C712" s="3" t="s">
        <v>39</v>
      </c>
      <c r="D712" s="3" t="s">
        <v>28</v>
      </c>
      <c r="E712" s="3"/>
      <c r="F712" s="3" t="s">
        <v>1053</v>
      </c>
    </row>
    <row r="713" spans="2:6" ht="15.75" customHeight="1">
      <c r="B713" s="3">
        <v>16030</v>
      </c>
      <c r="C713" s="3" t="s">
        <v>24</v>
      </c>
      <c r="D713" s="3" t="s">
        <v>20</v>
      </c>
      <c r="E713" s="3"/>
      <c r="F713" s="3" t="s">
        <v>1054</v>
      </c>
    </row>
    <row r="714" spans="2:6" ht="15.75" customHeight="1">
      <c r="B714" s="3">
        <v>16031</v>
      </c>
      <c r="C714" s="3" t="s">
        <v>61</v>
      </c>
      <c r="D714" s="3" t="s">
        <v>20</v>
      </c>
      <c r="E714" s="3"/>
      <c r="F714" s="3" t="s">
        <v>1055</v>
      </c>
    </row>
    <row r="715" spans="2:6" ht="15.75" customHeight="1">
      <c r="B715" s="3">
        <v>16032</v>
      </c>
      <c r="C715" s="3" t="s">
        <v>67</v>
      </c>
      <c r="D715" s="3" t="s">
        <v>89</v>
      </c>
      <c r="E715" s="3"/>
      <c r="F715" s="3" t="s">
        <v>1056</v>
      </c>
    </row>
    <row r="716" spans="2:6" ht="15.75" customHeight="1">
      <c r="B716" s="3">
        <v>16033</v>
      </c>
      <c r="C716" s="3" t="s">
        <v>24</v>
      </c>
      <c r="D716" s="3" t="s">
        <v>46</v>
      </c>
      <c r="E716" s="3"/>
      <c r="F716" s="3" t="s">
        <v>1057</v>
      </c>
    </row>
    <row r="717" spans="2:6" ht="15.75" customHeight="1">
      <c r="B717" s="3">
        <v>16034</v>
      </c>
      <c r="C717" s="3" t="s">
        <v>39</v>
      </c>
      <c r="D717" s="3" t="s">
        <v>57</v>
      </c>
      <c r="E717" s="3"/>
      <c r="F717" s="3" t="s">
        <v>1058</v>
      </c>
    </row>
    <row r="718" spans="2:6" ht="15.75" customHeight="1">
      <c r="B718" s="3">
        <v>16035</v>
      </c>
      <c r="C718" s="3" t="s">
        <v>19</v>
      </c>
      <c r="D718" s="3" t="s">
        <v>53</v>
      </c>
      <c r="E718" s="3"/>
      <c r="F718" s="3" t="s">
        <v>1059</v>
      </c>
    </row>
    <row r="719" spans="2:6" ht="15.75" customHeight="1">
      <c r="B719" s="3">
        <v>16036</v>
      </c>
      <c r="C719" s="3" t="s">
        <v>26</v>
      </c>
      <c r="D719" s="3" t="s">
        <v>83</v>
      </c>
      <c r="E719" s="3"/>
      <c r="F719" s="3" t="s">
        <v>1060</v>
      </c>
    </row>
    <row r="720" spans="2:6" ht="15.75" customHeight="1">
      <c r="B720" s="3">
        <v>16037</v>
      </c>
      <c r="C720" s="3" t="s">
        <v>51</v>
      </c>
      <c r="D720" s="3" t="s">
        <v>49</v>
      </c>
      <c r="E720" s="3"/>
      <c r="F720" s="3" t="s">
        <v>1061</v>
      </c>
    </row>
    <row r="721" spans="2:6" ht="15.75" customHeight="1">
      <c r="B721" s="3">
        <v>16038</v>
      </c>
      <c r="C721" s="3" t="s">
        <v>39</v>
      </c>
      <c r="D721" s="3" t="s">
        <v>57</v>
      </c>
      <c r="E721" s="3"/>
      <c r="F721" s="3" t="s">
        <v>1062</v>
      </c>
    </row>
    <row r="722" spans="2:6" ht="15.75" customHeight="1">
      <c r="B722" s="3">
        <v>16039</v>
      </c>
      <c r="C722" s="3" t="s">
        <v>44</v>
      </c>
      <c r="D722" s="3" t="s">
        <v>20</v>
      </c>
      <c r="E722" s="3"/>
      <c r="F722" s="3" t="s">
        <v>1063</v>
      </c>
    </row>
    <row r="723" spans="2:6" ht="15.75" customHeight="1">
      <c r="B723" s="3">
        <v>16040</v>
      </c>
      <c r="C723" s="3" t="s">
        <v>61</v>
      </c>
      <c r="D723" s="3" t="s">
        <v>57</v>
      </c>
      <c r="E723" s="3"/>
      <c r="F723" s="3" t="s">
        <v>1064</v>
      </c>
    </row>
    <row r="724" spans="2:6" ht="15.75" customHeight="1">
      <c r="B724" s="3">
        <v>16041</v>
      </c>
      <c r="C724" s="3" t="s">
        <v>67</v>
      </c>
      <c r="D724" s="3" t="s">
        <v>20</v>
      </c>
      <c r="E724" s="3"/>
      <c r="F724" s="3" t="s">
        <v>1065</v>
      </c>
    </row>
    <row r="725" spans="2:6" ht="15.75" customHeight="1">
      <c r="B725" s="3">
        <v>16042</v>
      </c>
      <c r="C725" s="3" t="s">
        <v>67</v>
      </c>
      <c r="D725" s="3" t="s">
        <v>33</v>
      </c>
      <c r="E725" s="3"/>
      <c r="F725" s="3" t="s">
        <v>1066</v>
      </c>
    </row>
    <row r="726" spans="2:6" ht="15.75" customHeight="1">
      <c r="B726" s="3">
        <v>16043</v>
      </c>
      <c r="C726" s="3" t="s">
        <v>39</v>
      </c>
      <c r="D726" s="3" t="s">
        <v>46</v>
      </c>
      <c r="E726" s="3"/>
      <c r="F726" s="3" t="s">
        <v>1067</v>
      </c>
    </row>
    <row r="727" spans="2:6" ht="15.75" customHeight="1">
      <c r="B727" s="3">
        <v>16044</v>
      </c>
      <c r="C727" s="3" t="s">
        <v>31</v>
      </c>
      <c r="D727" s="3" t="s">
        <v>75</v>
      </c>
      <c r="E727" s="3"/>
      <c r="F727" s="3" t="s">
        <v>1068</v>
      </c>
    </row>
    <row r="728" spans="2:6" ht="15.75" customHeight="1">
      <c r="B728" s="3">
        <v>16045</v>
      </c>
      <c r="C728" s="3" t="s">
        <v>26</v>
      </c>
      <c r="D728" s="3" t="s">
        <v>49</v>
      </c>
      <c r="E728" s="3"/>
      <c r="F728" s="3" t="s">
        <v>1069</v>
      </c>
    </row>
    <row r="729" spans="2:6" ht="15.75" customHeight="1">
      <c r="B729" s="3">
        <v>16046</v>
      </c>
      <c r="C729" s="3" t="s">
        <v>19</v>
      </c>
      <c r="D729" s="3" t="s">
        <v>89</v>
      </c>
      <c r="E729" s="3"/>
      <c r="F729" s="3" t="s">
        <v>1070</v>
      </c>
    </row>
    <row r="730" spans="2:6" ht="15.75" customHeight="1">
      <c r="B730" s="3">
        <v>16047</v>
      </c>
      <c r="C730" s="3" t="s">
        <v>24</v>
      </c>
      <c r="D730" s="3" t="s">
        <v>89</v>
      </c>
      <c r="E730" s="3"/>
      <c r="F730" s="3" t="s">
        <v>1071</v>
      </c>
    </row>
    <row r="731" spans="2:6" ht="15.75" customHeight="1">
      <c r="B731" s="3">
        <v>16048</v>
      </c>
      <c r="C731" s="3" t="s">
        <v>26</v>
      </c>
      <c r="D731" s="3" t="s">
        <v>33</v>
      </c>
      <c r="E731" s="3"/>
      <c r="F731" s="3" t="s">
        <v>1072</v>
      </c>
    </row>
    <row r="732" spans="2:6" ht="15.75" customHeight="1">
      <c r="B732" s="3">
        <v>16049</v>
      </c>
      <c r="C732" s="3" t="s">
        <v>39</v>
      </c>
      <c r="D732" s="3" t="s">
        <v>28</v>
      </c>
      <c r="E732" s="3"/>
      <c r="F732" s="3" t="s">
        <v>1073</v>
      </c>
    </row>
    <row r="733" spans="2:6" ht="15.75" customHeight="1">
      <c r="B733" s="3">
        <v>16050</v>
      </c>
      <c r="C733" s="3" t="s">
        <v>51</v>
      </c>
      <c r="D733" s="3" t="s">
        <v>46</v>
      </c>
      <c r="E733" s="3"/>
      <c r="F733" s="3" t="s">
        <v>1074</v>
      </c>
    </row>
    <row r="734" spans="2:6" ht="15.75" customHeight="1">
      <c r="B734" s="3">
        <v>16051</v>
      </c>
      <c r="C734" s="3" t="s">
        <v>44</v>
      </c>
      <c r="D734" s="3" t="s">
        <v>57</v>
      </c>
      <c r="E734" s="3"/>
      <c r="F734" s="3" t="s">
        <v>1075</v>
      </c>
    </row>
    <row r="735" spans="2:6" ht="15.75" customHeight="1">
      <c r="B735" s="3">
        <v>16052</v>
      </c>
      <c r="C735" s="3" t="s">
        <v>31</v>
      </c>
      <c r="D735" s="3" t="s">
        <v>53</v>
      </c>
      <c r="E735" s="3"/>
      <c r="F735" s="3" t="s">
        <v>1076</v>
      </c>
    </row>
    <row r="736" spans="2:6" ht="15.75" customHeight="1">
      <c r="B736" s="3">
        <v>16053</v>
      </c>
      <c r="C736" s="3" t="s">
        <v>24</v>
      </c>
      <c r="D736" s="3" t="s">
        <v>57</v>
      </c>
      <c r="E736" s="3"/>
      <c r="F736" s="3" t="s">
        <v>1077</v>
      </c>
    </row>
    <row r="737" spans="2:6" ht="15.75" customHeight="1">
      <c r="B737" s="3">
        <v>16054</v>
      </c>
      <c r="C737" s="3" t="s">
        <v>26</v>
      </c>
      <c r="D737" s="3" t="s">
        <v>49</v>
      </c>
      <c r="E737" s="3"/>
      <c r="F737" s="3" t="s">
        <v>1078</v>
      </c>
    </row>
    <row r="738" spans="2:6" ht="15.75" customHeight="1">
      <c r="B738" s="3">
        <v>16055</v>
      </c>
      <c r="C738" s="3" t="s">
        <v>39</v>
      </c>
      <c r="D738" s="3" t="s">
        <v>33</v>
      </c>
      <c r="E738" s="3"/>
      <c r="F738" s="3" t="s">
        <v>1079</v>
      </c>
    </row>
    <row r="739" spans="2:6" ht="15.75" customHeight="1">
      <c r="B739" s="3">
        <v>16056</v>
      </c>
      <c r="C739" s="3" t="s">
        <v>51</v>
      </c>
      <c r="D739" s="3" t="s">
        <v>83</v>
      </c>
      <c r="E739" s="3"/>
      <c r="F739" s="3" t="s">
        <v>1080</v>
      </c>
    </row>
    <row r="740" spans="2:6" ht="15.75" customHeight="1">
      <c r="B740" s="3">
        <v>16057</v>
      </c>
      <c r="C740" s="3" t="s">
        <v>31</v>
      </c>
      <c r="D740" s="3" t="s">
        <v>53</v>
      </c>
      <c r="E740" s="3"/>
      <c r="F740" s="3" t="s">
        <v>1081</v>
      </c>
    </row>
    <row r="741" spans="2:6" ht="15.75" customHeight="1">
      <c r="B741" s="3">
        <v>16058</v>
      </c>
      <c r="C741" s="3" t="s">
        <v>44</v>
      </c>
      <c r="D741" s="3" t="s">
        <v>33</v>
      </c>
      <c r="E741" s="3"/>
      <c r="F741" s="3" t="s">
        <v>1082</v>
      </c>
    </row>
    <row r="742" spans="2:6" ht="15.75" customHeight="1">
      <c r="B742" s="3">
        <v>16059</v>
      </c>
      <c r="C742" s="3" t="s">
        <v>44</v>
      </c>
      <c r="D742" s="3" t="s">
        <v>53</v>
      </c>
      <c r="E742" s="3"/>
      <c r="F742" s="3" t="s">
        <v>1083</v>
      </c>
    </row>
    <row r="743" spans="2:6" ht="15.75" customHeight="1">
      <c r="B743" s="3">
        <v>16060</v>
      </c>
      <c r="C743" s="3" t="s">
        <v>61</v>
      </c>
      <c r="D743" s="3" t="s">
        <v>75</v>
      </c>
      <c r="E743" s="3"/>
      <c r="F743" s="3" t="s">
        <v>1084</v>
      </c>
    </row>
    <row r="744" spans="2:6" ht="15.75" customHeight="1">
      <c r="B744" s="3">
        <v>16061</v>
      </c>
      <c r="C744" s="3" t="s">
        <v>19</v>
      </c>
      <c r="D744" s="3" t="s">
        <v>46</v>
      </c>
      <c r="E744" s="3"/>
      <c r="F744" s="3" t="s">
        <v>1085</v>
      </c>
    </row>
    <row r="745" spans="2:6" ht="15.75" customHeight="1">
      <c r="B745" s="3">
        <v>16062</v>
      </c>
      <c r="C745" s="3" t="s">
        <v>19</v>
      </c>
      <c r="D745" s="3" t="s">
        <v>49</v>
      </c>
      <c r="E745" s="3"/>
      <c r="F745" s="3" t="s">
        <v>1086</v>
      </c>
    </row>
    <row r="746" spans="2:6" ht="15.75" customHeight="1">
      <c r="B746" s="3">
        <v>16063</v>
      </c>
      <c r="C746" s="3" t="s">
        <v>55</v>
      </c>
      <c r="D746" s="3" t="s">
        <v>46</v>
      </c>
      <c r="E746" s="3"/>
      <c r="F746" s="3" t="s">
        <v>1087</v>
      </c>
    </row>
    <row r="747" spans="2:6" ht="15.75" customHeight="1">
      <c r="B747" s="3">
        <v>16064</v>
      </c>
      <c r="C747" s="3" t="s">
        <v>61</v>
      </c>
      <c r="D747" s="3" t="s">
        <v>53</v>
      </c>
      <c r="E747" s="3"/>
      <c r="F747" s="3" t="s">
        <v>1088</v>
      </c>
    </row>
    <row r="748" spans="2:6" ht="15.75" customHeight="1">
      <c r="B748" s="3">
        <v>16065</v>
      </c>
      <c r="C748" s="3" t="s">
        <v>44</v>
      </c>
      <c r="D748" s="3" t="s">
        <v>20</v>
      </c>
      <c r="E748" s="3"/>
      <c r="F748" s="3" t="s">
        <v>1089</v>
      </c>
    </row>
    <row r="749" spans="2:6" ht="15.75" customHeight="1">
      <c r="B749" s="3">
        <v>16066</v>
      </c>
      <c r="C749" s="3" t="s">
        <v>19</v>
      </c>
      <c r="D749" s="3" t="s">
        <v>28</v>
      </c>
      <c r="E749" s="3"/>
      <c r="F749" s="3" t="s">
        <v>1090</v>
      </c>
    </row>
    <row r="750" spans="2:6" ht="15.75" customHeight="1">
      <c r="B750" s="3">
        <v>16067</v>
      </c>
      <c r="C750" s="3" t="s">
        <v>55</v>
      </c>
      <c r="D750" s="3" t="s">
        <v>57</v>
      </c>
      <c r="E750" s="3"/>
      <c r="F750" s="3" t="s">
        <v>1091</v>
      </c>
    </row>
    <row r="751" spans="2:6" ht="15.75" customHeight="1">
      <c r="B751" s="3">
        <v>16068</v>
      </c>
      <c r="C751" s="3" t="s">
        <v>31</v>
      </c>
      <c r="D751" s="3" t="s">
        <v>20</v>
      </c>
      <c r="E751" s="3"/>
      <c r="F751" s="3" t="s">
        <v>1092</v>
      </c>
    </row>
    <row r="752" spans="2:6" ht="15.75" customHeight="1">
      <c r="B752" s="3">
        <v>16069</v>
      </c>
      <c r="C752" s="3" t="s">
        <v>51</v>
      </c>
      <c r="D752" s="3" t="s">
        <v>20</v>
      </c>
      <c r="E752" s="3"/>
      <c r="F752" s="3" t="s">
        <v>1093</v>
      </c>
    </row>
    <row r="753" spans="2:6" ht="15.75" customHeight="1">
      <c r="B753" s="3">
        <v>16070</v>
      </c>
      <c r="C753" s="3" t="s">
        <v>44</v>
      </c>
      <c r="D753" s="3" t="s">
        <v>20</v>
      </c>
      <c r="E753" s="3"/>
      <c r="F753" s="3" t="s">
        <v>1094</v>
      </c>
    </row>
    <row r="754" spans="2:6" ht="15.75" customHeight="1">
      <c r="B754" s="3">
        <v>16071</v>
      </c>
      <c r="C754" s="3" t="s">
        <v>26</v>
      </c>
      <c r="D754" s="3" t="s">
        <v>46</v>
      </c>
      <c r="E754" s="3"/>
      <c r="F754" s="3" t="s">
        <v>1095</v>
      </c>
    </row>
    <row r="755" spans="2:6" ht="15.75" customHeight="1">
      <c r="B755" s="3">
        <v>16072</v>
      </c>
      <c r="C755" s="3" t="s">
        <v>51</v>
      </c>
      <c r="D755" s="3" t="s">
        <v>83</v>
      </c>
      <c r="E755" s="3"/>
      <c r="F755" s="3" t="s">
        <v>1096</v>
      </c>
    </row>
    <row r="756" spans="2:6" ht="15.75" customHeight="1">
      <c r="B756" s="3">
        <v>16073</v>
      </c>
      <c r="C756" s="3" t="s">
        <v>19</v>
      </c>
      <c r="D756" s="3" t="s">
        <v>49</v>
      </c>
      <c r="E756" s="3"/>
      <c r="F756" s="3" t="s">
        <v>1097</v>
      </c>
    </row>
    <row r="757" spans="2:6" ht="15.75" customHeight="1">
      <c r="B757" s="3">
        <v>16074</v>
      </c>
      <c r="C757" s="3" t="s">
        <v>61</v>
      </c>
      <c r="D757" s="3" t="s">
        <v>89</v>
      </c>
      <c r="E757" s="3"/>
      <c r="F757" s="3" t="s">
        <v>1098</v>
      </c>
    </row>
    <row r="758" spans="2:6" ht="15.75" customHeight="1">
      <c r="B758" s="3">
        <v>16075</v>
      </c>
      <c r="C758" s="3" t="s">
        <v>51</v>
      </c>
      <c r="D758" s="3" t="s">
        <v>49</v>
      </c>
      <c r="E758" s="3"/>
      <c r="F758" s="3" t="s">
        <v>1099</v>
      </c>
    </row>
    <row r="759" spans="2:6" ht="15.75" customHeight="1">
      <c r="B759" s="3">
        <v>16076</v>
      </c>
      <c r="C759" s="3" t="s">
        <v>26</v>
      </c>
      <c r="D759" s="3" t="s">
        <v>46</v>
      </c>
      <c r="E759" s="3"/>
      <c r="F759" s="3" t="s">
        <v>1100</v>
      </c>
    </row>
    <row r="760" spans="2:6" ht="15.75" customHeight="1">
      <c r="B760" s="3">
        <v>16077</v>
      </c>
      <c r="C760" s="3" t="s">
        <v>31</v>
      </c>
      <c r="D760" s="3" t="s">
        <v>75</v>
      </c>
      <c r="E760" s="3"/>
      <c r="F760" s="3" t="s">
        <v>1101</v>
      </c>
    </row>
    <row r="761" spans="2:6" ht="15.75" customHeight="1">
      <c r="B761" s="3">
        <v>16078</v>
      </c>
      <c r="C761" s="3" t="s">
        <v>67</v>
      </c>
      <c r="D761" s="3" t="s">
        <v>46</v>
      </c>
      <c r="E761" s="3"/>
      <c r="F761" s="3" t="s">
        <v>1102</v>
      </c>
    </row>
    <row r="762" spans="2:6" ht="15.75" customHeight="1">
      <c r="B762" s="3">
        <v>16079</v>
      </c>
      <c r="C762" s="3" t="s">
        <v>24</v>
      </c>
      <c r="D762" s="3" t="s">
        <v>20</v>
      </c>
      <c r="E762" s="3"/>
      <c r="F762" s="3" t="s">
        <v>1103</v>
      </c>
    </row>
    <row r="763" spans="2:6" ht="15.75" customHeight="1">
      <c r="B763" s="3">
        <v>16080</v>
      </c>
      <c r="C763" s="3" t="s">
        <v>19</v>
      </c>
      <c r="D763" s="3" t="s">
        <v>46</v>
      </c>
      <c r="E763" s="3"/>
      <c r="F763" s="3" t="s">
        <v>1104</v>
      </c>
    </row>
    <row r="764" spans="2:6" ht="15.75" customHeight="1">
      <c r="B764" s="3">
        <v>16081</v>
      </c>
      <c r="C764" s="3" t="s">
        <v>31</v>
      </c>
      <c r="D764" s="3" t="s">
        <v>53</v>
      </c>
      <c r="E764" s="3"/>
      <c r="F764" s="3" t="s">
        <v>1105</v>
      </c>
    </row>
    <row r="765" spans="2:6" ht="15.75" customHeight="1">
      <c r="B765" s="3">
        <v>16082</v>
      </c>
      <c r="C765" s="3" t="s">
        <v>44</v>
      </c>
      <c r="D765" s="3" t="s">
        <v>20</v>
      </c>
      <c r="E765" s="3"/>
      <c r="F765" s="3" t="s">
        <v>1106</v>
      </c>
    </row>
    <row r="766" spans="2:6" ht="15.75" customHeight="1">
      <c r="B766" s="3">
        <v>16083</v>
      </c>
      <c r="C766" s="3" t="s">
        <v>19</v>
      </c>
      <c r="D766" s="3" t="s">
        <v>89</v>
      </c>
      <c r="E766" s="3"/>
      <c r="F766" s="3" t="s">
        <v>1107</v>
      </c>
    </row>
    <row r="767" spans="2:6" ht="15.75" customHeight="1">
      <c r="B767" s="3">
        <v>16084</v>
      </c>
      <c r="C767" s="3" t="s">
        <v>19</v>
      </c>
      <c r="D767" s="3" t="s">
        <v>49</v>
      </c>
      <c r="E767" s="3"/>
      <c r="F767" s="3" t="s">
        <v>1108</v>
      </c>
    </row>
    <row r="768" spans="2:6" ht="15.75" customHeight="1">
      <c r="B768" s="3">
        <v>16085</v>
      </c>
      <c r="C768" s="3" t="s">
        <v>67</v>
      </c>
      <c r="D768" s="3" t="s">
        <v>83</v>
      </c>
      <c r="E768" s="3"/>
      <c r="F768" s="3" t="s">
        <v>1109</v>
      </c>
    </row>
    <row r="769" spans="2:6" ht="15.75" customHeight="1">
      <c r="B769" s="3">
        <v>16086</v>
      </c>
      <c r="C769" s="3" t="s">
        <v>39</v>
      </c>
      <c r="D769" s="3" t="s">
        <v>75</v>
      </c>
      <c r="E769" s="3"/>
      <c r="F769" s="3" t="s">
        <v>1110</v>
      </c>
    </row>
    <row r="770" spans="2:6" ht="15.75" customHeight="1">
      <c r="B770" s="3">
        <v>16087</v>
      </c>
      <c r="C770" s="3" t="s">
        <v>55</v>
      </c>
      <c r="D770" s="3" t="s">
        <v>28</v>
      </c>
      <c r="E770" s="3"/>
      <c r="F770" s="3" t="s">
        <v>1111</v>
      </c>
    </row>
    <row r="771" spans="2:6" ht="15.75" customHeight="1">
      <c r="B771" s="3">
        <v>16088</v>
      </c>
      <c r="C771" s="3" t="s">
        <v>44</v>
      </c>
      <c r="D771" s="3" t="s">
        <v>28</v>
      </c>
      <c r="E771" s="3"/>
      <c r="F771" s="3" t="s">
        <v>1112</v>
      </c>
    </row>
    <row r="772" spans="2:6" ht="15.75" customHeight="1">
      <c r="B772" s="3">
        <v>16089</v>
      </c>
      <c r="C772" s="3" t="s">
        <v>24</v>
      </c>
      <c r="D772" s="3" t="s">
        <v>33</v>
      </c>
      <c r="E772" s="3"/>
      <c r="F772" s="3" t="s">
        <v>1113</v>
      </c>
    </row>
    <row r="773" spans="2:6" ht="15.75" customHeight="1">
      <c r="B773" s="3">
        <v>16090</v>
      </c>
      <c r="C773" s="3" t="s">
        <v>51</v>
      </c>
      <c r="D773" s="3" t="s">
        <v>57</v>
      </c>
      <c r="E773" s="3"/>
      <c r="F773" s="3" t="s">
        <v>1114</v>
      </c>
    </row>
    <row r="774" spans="2:6" ht="15.75" customHeight="1">
      <c r="B774" s="3">
        <v>16091</v>
      </c>
      <c r="C774" s="3" t="s">
        <v>26</v>
      </c>
      <c r="D774" s="3" t="s">
        <v>89</v>
      </c>
      <c r="E774" s="3"/>
      <c r="F774" s="3" t="s">
        <v>1115</v>
      </c>
    </row>
    <row r="775" spans="2:6" ht="15.75" customHeight="1">
      <c r="B775" s="3">
        <v>16092</v>
      </c>
      <c r="C775" s="3" t="s">
        <v>26</v>
      </c>
      <c r="D775" s="3" t="s">
        <v>49</v>
      </c>
      <c r="E775" s="3"/>
      <c r="F775" s="3" t="s">
        <v>1116</v>
      </c>
    </row>
    <row r="776" spans="2:6" ht="15.75" customHeight="1">
      <c r="B776" s="3">
        <v>16093</v>
      </c>
      <c r="C776" s="3" t="s">
        <v>51</v>
      </c>
      <c r="D776" s="3" t="s">
        <v>49</v>
      </c>
      <c r="E776" s="3"/>
      <c r="F776" s="3" t="s">
        <v>1117</v>
      </c>
    </row>
    <row r="777" spans="2:6" ht="15.75" customHeight="1">
      <c r="B777" s="3">
        <v>16094</v>
      </c>
      <c r="C777" s="3" t="s">
        <v>44</v>
      </c>
      <c r="D777" s="3" t="s">
        <v>46</v>
      </c>
      <c r="E777" s="3"/>
      <c r="F777" s="3" t="s">
        <v>1118</v>
      </c>
    </row>
    <row r="778" spans="2:6" ht="15.75" customHeight="1">
      <c r="B778" s="3">
        <v>16095</v>
      </c>
      <c r="C778" s="3" t="s">
        <v>55</v>
      </c>
      <c r="D778" s="3" t="s">
        <v>20</v>
      </c>
      <c r="E778" s="3"/>
      <c r="F778" s="3" t="s">
        <v>1119</v>
      </c>
    </row>
    <row r="779" spans="2:6" ht="15.75" customHeight="1">
      <c r="B779" s="3">
        <v>16096</v>
      </c>
      <c r="C779" s="3" t="s">
        <v>24</v>
      </c>
      <c r="D779" s="3" t="s">
        <v>33</v>
      </c>
      <c r="E779" s="3"/>
      <c r="F779" s="3" t="s">
        <v>1120</v>
      </c>
    </row>
    <row r="780" spans="2:6" ht="15.75" customHeight="1">
      <c r="B780" s="3">
        <v>16097</v>
      </c>
      <c r="C780" s="3" t="s">
        <v>44</v>
      </c>
      <c r="D780" s="3" t="s">
        <v>20</v>
      </c>
      <c r="E780" s="3"/>
      <c r="F780" s="3" t="s">
        <v>1121</v>
      </c>
    </row>
    <row r="781" spans="2:6" ht="15.75" customHeight="1">
      <c r="B781" s="3">
        <v>16098</v>
      </c>
      <c r="C781" s="3" t="s">
        <v>44</v>
      </c>
      <c r="D781" s="3" t="s">
        <v>33</v>
      </c>
      <c r="E781" s="3"/>
      <c r="F781" s="3" t="s">
        <v>1122</v>
      </c>
    </row>
    <row r="782" spans="2:6" ht="15.75" customHeight="1">
      <c r="B782" s="3">
        <v>16099</v>
      </c>
      <c r="C782" s="3" t="s">
        <v>61</v>
      </c>
      <c r="D782" s="3" t="s">
        <v>83</v>
      </c>
      <c r="E782" s="3"/>
      <c r="F782" s="3" t="s">
        <v>1123</v>
      </c>
    </row>
    <row r="783" spans="2:6" ht="15.75" customHeight="1">
      <c r="B783" s="3">
        <v>16100</v>
      </c>
      <c r="C783" s="3" t="s">
        <v>26</v>
      </c>
      <c r="D783" s="3" t="s">
        <v>20</v>
      </c>
      <c r="E783" s="3"/>
      <c r="F783" s="3" t="s">
        <v>1124</v>
      </c>
    </row>
    <row r="784" spans="2:6" ht="15.75" customHeight="1">
      <c r="B784" s="3">
        <v>16101</v>
      </c>
      <c r="C784" s="3" t="s">
        <v>61</v>
      </c>
      <c r="D784" s="3" t="s">
        <v>89</v>
      </c>
      <c r="E784" s="3"/>
      <c r="F784" s="3" t="s">
        <v>1125</v>
      </c>
    </row>
    <row r="785" spans="2:6" ht="15.75" customHeight="1">
      <c r="B785" s="3">
        <v>16102</v>
      </c>
      <c r="C785" s="3" t="s">
        <v>44</v>
      </c>
      <c r="D785" s="3" t="s">
        <v>46</v>
      </c>
      <c r="E785" s="3"/>
      <c r="F785" s="3" t="s">
        <v>1126</v>
      </c>
    </row>
    <row r="786" spans="2:6" ht="15.75" customHeight="1">
      <c r="B786" s="3">
        <v>16103</v>
      </c>
      <c r="C786" s="3" t="s">
        <v>44</v>
      </c>
      <c r="D786" s="3" t="s">
        <v>46</v>
      </c>
      <c r="E786" s="3"/>
      <c r="F786" s="3" t="s">
        <v>1127</v>
      </c>
    </row>
    <row r="787" spans="2:6" ht="15.75" customHeight="1">
      <c r="B787" s="3">
        <v>16104</v>
      </c>
      <c r="C787" s="3" t="s">
        <v>39</v>
      </c>
      <c r="D787" s="3" t="s">
        <v>57</v>
      </c>
      <c r="E787" s="3"/>
      <c r="F787" s="3" t="s">
        <v>1128</v>
      </c>
    </row>
    <row r="788" spans="2:6" ht="15.75" customHeight="1">
      <c r="B788" s="3">
        <v>16105</v>
      </c>
      <c r="C788" s="3" t="s">
        <v>19</v>
      </c>
      <c r="D788" s="3" t="s">
        <v>33</v>
      </c>
      <c r="E788" s="3"/>
      <c r="F788" s="3" t="s">
        <v>1129</v>
      </c>
    </row>
    <row r="789" spans="2:6" ht="15.75" customHeight="1">
      <c r="B789" s="3">
        <v>16106</v>
      </c>
      <c r="C789" s="3" t="s">
        <v>26</v>
      </c>
      <c r="D789" s="3" t="s">
        <v>33</v>
      </c>
      <c r="E789" s="3"/>
      <c r="F789" s="3" t="s">
        <v>1130</v>
      </c>
    </row>
    <row r="790" spans="2:6" ht="15.75" customHeight="1">
      <c r="B790" s="3">
        <v>16107</v>
      </c>
      <c r="C790" s="3" t="s">
        <v>24</v>
      </c>
      <c r="D790" s="3" t="s">
        <v>33</v>
      </c>
      <c r="E790" s="3"/>
      <c r="F790" s="3" t="s">
        <v>1131</v>
      </c>
    </row>
    <row r="791" spans="2:6" ht="15.75" customHeight="1">
      <c r="B791" s="3">
        <v>16108</v>
      </c>
      <c r="C791" s="3" t="s">
        <v>26</v>
      </c>
      <c r="D791" s="3" t="s">
        <v>28</v>
      </c>
      <c r="E791" s="3"/>
      <c r="F791" s="3" t="s">
        <v>1132</v>
      </c>
    </row>
    <row r="792" spans="2:6" ht="15.75" customHeight="1">
      <c r="B792" s="3">
        <v>16109</v>
      </c>
      <c r="C792" s="3" t="s">
        <v>44</v>
      </c>
      <c r="D792" s="3" t="s">
        <v>33</v>
      </c>
      <c r="E792" s="3"/>
      <c r="F792" s="3" t="s">
        <v>1133</v>
      </c>
    </row>
    <row r="793" spans="2:6" ht="15.75" customHeight="1">
      <c r="B793" s="3">
        <v>16110</v>
      </c>
      <c r="C793" s="3" t="s">
        <v>31</v>
      </c>
      <c r="D793" s="3" t="s">
        <v>28</v>
      </c>
      <c r="E793" s="3"/>
      <c r="F793" s="3" t="s">
        <v>1134</v>
      </c>
    </row>
    <row r="794" spans="2:6" ht="15.75" customHeight="1">
      <c r="B794" s="3">
        <v>16111</v>
      </c>
      <c r="C794" s="3" t="s">
        <v>55</v>
      </c>
      <c r="D794" s="3" t="s">
        <v>75</v>
      </c>
      <c r="E794" s="3"/>
      <c r="F794" s="3" t="s">
        <v>1135</v>
      </c>
    </row>
    <row r="795" spans="2:6" ht="15.75" customHeight="1">
      <c r="B795" s="3">
        <v>16112</v>
      </c>
      <c r="C795" s="3" t="s">
        <v>51</v>
      </c>
      <c r="D795" s="3" t="s">
        <v>49</v>
      </c>
      <c r="E795" s="3"/>
      <c r="F795" s="3" t="s">
        <v>1136</v>
      </c>
    </row>
    <row r="796" spans="2:6" ht="15.75" customHeight="1">
      <c r="B796" s="3">
        <v>16113</v>
      </c>
      <c r="C796" s="3" t="s">
        <v>51</v>
      </c>
      <c r="D796" s="3" t="s">
        <v>53</v>
      </c>
      <c r="E796" s="3"/>
      <c r="F796" s="3" t="s">
        <v>1137</v>
      </c>
    </row>
    <row r="797" spans="2:6" ht="15.75" customHeight="1">
      <c r="B797" s="3">
        <v>16114</v>
      </c>
      <c r="C797" s="3" t="s">
        <v>39</v>
      </c>
      <c r="D797" s="3" t="s">
        <v>33</v>
      </c>
      <c r="E797" s="3"/>
      <c r="F797" s="3" t="s">
        <v>1138</v>
      </c>
    </row>
    <row r="798" spans="2:6" ht="15.75" customHeight="1">
      <c r="B798" s="3">
        <v>16115</v>
      </c>
      <c r="C798" s="3" t="s">
        <v>31</v>
      </c>
      <c r="D798" s="3" t="s">
        <v>89</v>
      </c>
      <c r="E798" s="3"/>
      <c r="F798" s="3" t="s">
        <v>1139</v>
      </c>
    </row>
    <row r="799" spans="2:6" ht="15.75" customHeight="1">
      <c r="B799" s="3">
        <v>16116</v>
      </c>
      <c r="C799" s="3" t="s">
        <v>24</v>
      </c>
      <c r="D799" s="3" t="s">
        <v>33</v>
      </c>
      <c r="E799" s="3"/>
      <c r="F799" s="3" t="s">
        <v>1140</v>
      </c>
    </row>
    <row r="800" spans="2:6" ht="15.75" customHeight="1">
      <c r="B800" s="3">
        <v>16117</v>
      </c>
      <c r="C800" s="3" t="s">
        <v>51</v>
      </c>
      <c r="D800" s="3" t="s">
        <v>20</v>
      </c>
      <c r="E800" s="3"/>
      <c r="F800" s="3" t="s">
        <v>1141</v>
      </c>
    </row>
    <row r="801" spans="2:6" ht="15.75" customHeight="1">
      <c r="B801" s="3">
        <v>16118</v>
      </c>
      <c r="C801" s="3" t="s">
        <v>61</v>
      </c>
      <c r="D801" s="3" t="s">
        <v>53</v>
      </c>
      <c r="E801" s="3"/>
      <c r="F801" s="3" t="s">
        <v>1142</v>
      </c>
    </row>
    <row r="802" spans="2:6" ht="15.75" customHeight="1">
      <c r="B802" s="3">
        <v>16119</v>
      </c>
      <c r="C802" s="3" t="s">
        <v>26</v>
      </c>
      <c r="D802" s="3" t="s">
        <v>89</v>
      </c>
      <c r="E802" s="3"/>
      <c r="F802" s="3" t="s">
        <v>1143</v>
      </c>
    </row>
    <row r="803" spans="2:6" ht="15.75" customHeight="1">
      <c r="B803" s="3">
        <v>16120</v>
      </c>
      <c r="C803" s="3" t="s">
        <v>39</v>
      </c>
      <c r="D803" s="3" t="s">
        <v>33</v>
      </c>
      <c r="E803" s="3"/>
      <c r="F803" s="3" t="s">
        <v>1144</v>
      </c>
    </row>
    <row r="804" spans="2:6" ht="15.75" customHeight="1">
      <c r="B804" s="3">
        <v>16121</v>
      </c>
      <c r="C804" s="3" t="s">
        <v>19</v>
      </c>
      <c r="D804" s="3" t="s">
        <v>57</v>
      </c>
      <c r="E804" s="3"/>
      <c r="F804" s="3" t="s">
        <v>1145</v>
      </c>
    </row>
    <row r="805" spans="2:6" ht="15.75" customHeight="1">
      <c r="B805" s="3">
        <v>16122</v>
      </c>
      <c r="C805" s="3" t="s">
        <v>24</v>
      </c>
      <c r="D805" s="3" t="s">
        <v>53</v>
      </c>
      <c r="E805" s="3"/>
      <c r="F805" s="3" t="s">
        <v>1146</v>
      </c>
    </row>
    <row r="806" spans="2:6" ht="15.75" customHeight="1">
      <c r="B806" s="3">
        <v>16123</v>
      </c>
      <c r="C806" s="3" t="s">
        <v>19</v>
      </c>
      <c r="D806" s="3" t="s">
        <v>28</v>
      </c>
      <c r="E806" s="3"/>
      <c r="F806" s="3" t="s">
        <v>1147</v>
      </c>
    </row>
    <row r="807" spans="2:6" ht="15.75" customHeight="1">
      <c r="B807" s="3">
        <v>16124</v>
      </c>
      <c r="C807" s="3" t="s">
        <v>44</v>
      </c>
      <c r="D807" s="3" t="s">
        <v>83</v>
      </c>
      <c r="E807" s="3"/>
      <c r="F807" s="3" t="s">
        <v>1148</v>
      </c>
    </row>
    <row r="808" spans="2:6" ht="15.75" customHeight="1">
      <c r="B808" s="3">
        <v>16125</v>
      </c>
      <c r="C808" s="3" t="s">
        <v>67</v>
      </c>
      <c r="D808" s="3" t="s">
        <v>75</v>
      </c>
      <c r="E808" s="3"/>
      <c r="F808" s="3" t="s">
        <v>1149</v>
      </c>
    </row>
    <row r="809" spans="2:6" ht="15.75" customHeight="1">
      <c r="B809" s="3">
        <v>16126</v>
      </c>
      <c r="C809" s="3" t="s">
        <v>67</v>
      </c>
      <c r="D809" s="3" t="s">
        <v>28</v>
      </c>
      <c r="E809" s="3"/>
      <c r="F809" s="3" t="s">
        <v>1150</v>
      </c>
    </row>
    <row r="810" spans="2:6" ht="15.75" customHeight="1">
      <c r="B810" s="3">
        <v>16127</v>
      </c>
      <c r="C810" s="3" t="s">
        <v>39</v>
      </c>
      <c r="D810" s="3" t="s">
        <v>75</v>
      </c>
      <c r="E810" s="3"/>
      <c r="F810" s="3" t="s">
        <v>1151</v>
      </c>
    </row>
    <row r="811" spans="2:6" ht="15.75" customHeight="1">
      <c r="B811" s="3">
        <v>16128</v>
      </c>
      <c r="C811" s="3" t="s">
        <v>67</v>
      </c>
      <c r="D811" s="3" t="s">
        <v>53</v>
      </c>
      <c r="E811" s="3"/>
      <c r="F811" s="3" t="s">
        <v>1152</v>
      </c>
    </row>
    <row r="812" spans="2:6" ht="15.75" customHeight="1">
      <c r="B812" s="3">
        <v>16129</v>
      </c>
      <c r="C812" s="3" t="s">
        <v>39</v>
      </c>
      <c r="D812" s="3" t="s">
        <v>83</v>
      </c>
      <c r="E812" s="3"/>
      <c r="F812" s="3" t="s">
        <v>1153</v>
      </c>
    </row>
    <row r="813" spans="2:6" ht="15.75" customHeight="1">
      <c r="B813" s="3">
        <v>16130</v>
      </c>
      <c r="C813" s="3" t="s">
        <v>31</v>
      </c>
      <c r="D813" s="3" t="s">
        <v>75</v>
      </c>
      <c r="E813" s="3"/>
      <c r="F813" s="3" t="s">
        <v>1154</v>
      </c>
    </row>
    <row r="814" spans="2:6" ht="15.75" customHeight="1">
      <c r="B814" s="3">
        <v>16131</v>
      </c>
      <c r="C814" s="3" t="s">
        <v>24</v>
      </c>
      <c r="D814" s="3" t="s">
        <v>89</v>
      </c>
      <c r="E814" s="3"/>
      <c r="F814" s="3" t="s">
        <v>1155</v>
      </c>
    </row>
    <row r="815" spans="2:6" ht="15.75" customHeight="1">
      <c r="B815" s="3">
        <v>16132</v>
      </c>
      <c r="C815" s="3" t="s">
        <v>26</v>
      </c>
      <c r="D815" s="3" t="s">
        <v>33</v>
      </c>
      <c r="E815" s="3"/>
      <c r="F815" s="3" t="s">
        <v>1156</v>
      </c>
    </row>
    <row r="816" spans="2:6" ht="15.75" customHeight="1">
      <c r="B816" s="3">
        <v>16133</v>
      </c>
      <c r="C816" s="3" t="s">
        <v>26</v>
      </c>
      <c r="D816" s="3" t="s">
        <v>57</v>
      </c>
      <c r="E816" s="3"/>
      <c r="F816" s="3" t="s">
        <v>1157</v>
      </c>
    </row>
    <row r="817" spans="2:6" ht="15.75" customHeight="1">
      <c r="B817" s="3">
        <v>16134</v>
      </c>
      <c r="C817" s="3" t="s">
        <v>31</v>
      </c>
      <c r="D817" s="3" t="s">
        <v>89</v>
      </c>
      <c r="E817" s="3"/>
      <c r="F817" s="3" t="s">
        <v>1158</v>
      </c>
    </row>
    <row r="818" spans="2:6" ht="15.75" customHeight="1">
      <c r="B818" s="3">
        <v>16135</v>
      </c>
      <c r="C818" s="3" t="s">
        <v>39</v>
      </c>
      <c r="D818" s="3" t="s">
        <v>28</v>
      </c>
      <c r="E818" s="3"/>
      <c r="F818" s="3" t="s">
        <v>1159</v>
      </c>
    </row>
    <row r="819" spans="2:6" ht="15.75" customHeight="1">
      <c r="B819" s="3">
        <v>16136</v>
      </c>
      <c r="C819" s="3" t="s">
        <v>51</v>
      </c>
      <c r="D819" s="3" t="s">
        <v>20</v>
      </c>
      <c r="E819" s="3"/>
      <c r="F819" s="3" t="s">
        <v>1160</v>
      </c>
    </row>
    <row r="820" spans="2:6" ht="15.75" customHeight="1">
      <c r="B820" s="3">
        <v>16137</v>
      </c>
      <c r="C820" s="3" t="s">
        <v>24</v>
      </c>
      <c r="D820" s="3" t="s">
        <v>49</v>
      </c>
      <c r="E820" s="3"/>
      <c r="F820" s="3" t="s">
        <v>1161</v>
      </c>
    </row>
    <row r="821" spans="2:6" ht="15.75" customHeight="1">
      <c r="B821" s="3">
        <v>16138</v>
      </c>
      <c r="C821" s="3" t="s">
        <v>26</v>
      </c>
      <c r="D821" s="3" t="s">
        <v>49</v>
      </c>
      <c r="E821" s="3"/>
      <c r="F821" s="3" t="s">
        <v>1162</v>
      </c>
    </row>
    <row r="822" spans="2:6" ht="15.75" customHeight="1">
      <c r="B822" s="3">
        <v>16139</v>
      </c>
      <c r="C822" s="3" t="s">
        <v>26</v>
      </c>
      <c r="D822" s="3" t="s">
        <v>33</v>
      </c>
      <c r="E822" s="3"/>
      <c r="F822" s="3" t="s">
        <v>1163</v>
      </c>
    </row>
    <row r="823" spans="2:6" ht="15.75" customHeight="1">
      <c r="B823" s="3">
        <v>16140</v>
      </c>
      <c r="C823" s="3" t="s">
        <v>19</v>
      </c>
      <c r="D823" s="3" t="s">
        <v>57</v>
      </c>
      <c r="E823" s="3"/>
      <c r="F823" s="3" t="s">
        <v>1164</v>
      </c>
    </row>
    <row r="824" spans="2:6" ht="15.75" customHeight="1">
      <c r="B824" s="3">
        <v>16141</v>
      </c>
      <c r="C824" s="3" t="s">
        <v>51</v>
      </c>
      <c r="D824" s="3" t="s">
        <v>28</v>
      </c>
      <c r="E824" s="3"/>
      <c r="F824" s="3" t="s">
        <v>1165</v>
      </c>
    </row>
    <row r="825" spans="2:6" ht="15.75" customHeight="1">
      <c r="B825" s="3">
        <v>16142</v>
      </c>
      <c r="C825" s="3" t="s">
        <v>67</v>
      </c>
      <c r="D825" s="3" t="s">
        <v>28</v>
      </c>
      <c r="E825" s="3"/>
      <c r="F825" s="3" t="s">
        <v>1166</v>
      </c>
    </row>
    <row r="826" spans="2:6" ht="15.75" customHeight="1">
      <c r="B826" s="3">
        <v>16143</v>
      </c>
      <c r="C826" s="3" t="s">
        <v>19</v>
      </c>
      <c r="D826" s="3" t="s">
        <v>89</v>
      </c>
      <c r="E826" s="3"/>
      <c r="F826" s="3" t="s">
        <v>1167</v>
      </c>
    </row>
    <row r="827" spans="2:6" ht="15.75" customHeight="1">
      <c r="B827" s="3">
        <v>16144</v>
      </c>
      <c r="C827" s="3" t="s">
        <v>19</v>
      </c>
      <c r="D827" s="3" t="s">
        <v>57</v>
      </c>
      <c r="E827" s="3"/>
      <c r="F827" s="3" t="s">
        <v>1168</v>
      </c>
    </row>
    <row r="828" spans="2:6" ht="15.75" customHeight="1">
      <c r="B828" s="3">
        <v>16145</v>
      </c>
      <c r="C828" s="3" t="s">
        <v>39</v>
      </c>
      <c r="D828" s="3" t="s">
        <v>33</v>
      </c>
      <c r="E828" s="3"/>
      <c r="F828" s="3" t="s">
        <v>1169</v>
      </c>
    </row>
    <row r="829" spans="2:6" ht="15.75" customHeight="1">
      <c r="B829" s="3">
        <v>16146</v>
      </c>
      <c r="C829" s="3" t="s">
        <v>26</v>
      </c>
      <c r="D829" s="3" t="s">
        <v>46</v>
      </c>
      <c r="E829" s="3"/>
      <c r="F829" s="3" t="s">
        <v>1170</v>
      </c>
    </row>
    <row r="830" spans="2:6" ht="15.75" customHeight="1">
      <c r="B830" s="3">
        <v>16147</v>
      </c>
      <c r="C830" s="3" t="s">
        <v>51</v>
      </c>
      <c r="D830" s="3" t="s">
        <v>46</v>
      </c>
      <c r="E830" s="3"/>
      <c r="F830" s="3" t="s">
        <v>1171</v>
      </c>
    </row>
    <row r="831" spans="2:6" ht="15.75" customHeight="1">
      <c r="B831" s="3">
        <v>16148</v>
      </c>
      <c r="C831" s="3" t="s">
        <v>26</v>
      </c>
      <c r="D831" s="3" t="s">
        <v>28</v>
      </c>
      <c r="E831" s="3"/>
      <c r="F831" s="3" t="s">
        <v>1172</v>
      </c>
    </row>
    <row r="832" spans="2:6" ht="15.75" customHeight="1">
      <c r="B832" s="3">
        <v>16149</v>
      </c>
      <c r="C832" s="3" t="s">
        <v>55</v>
      </c>
      <c r="D832" s="3" t="s">
        <v>20</v>
      </c>
      <c r="E832" s="3"/>
      <c r="F832" s="3" t="s">
        <v>1173</v>
      </c>
    </row>
    <row r="833" spans="2:6" ht="15.75" customHeight="1">
      <c r="B833" s="3">
        <v>16150</v>
      </c>
      <c r="C833" s="3" t="s">
        <v>55</v>
      </c>
      <c r="D833" s="3" t="s">
        <v>33</v>
      </c>
      <c r="E833" s="3"/>
      <c r="F833" s="3" t="s">
        <v>1174</v>
      </c>
    </row>
    <row r="834" spans="2:6" ht="15.75" customHeight="1">
      <c r="B834" s="3">
        <v>16151</v>
      </c>
      <c r="C834" s="3" t="s">
        <v>31</v>
      </c>
      <c r="D834" s="3" t="s">
        <v>53</v>
      </c>
      <c r="E834" s="3"/>
      <c r="F834" s="3" t="s">
        <v>1175</v>
      </c>
    </row>
    <row r="835" spans="2:6" ht="15.75" customHeight="1">
      <c r="B835" s="3">
        <v>16152</v>
      </c>
      <c r="C835" s="3" t="s">
        <v>26</v>
      </c>
      <c r="D835" s="3" t="s">
        <v>28</v>
      </c>
      <c r="E835" s="3"/>
      <c r="F835" s="3" t="s">
        <v>1176</v>
      </c>
    </row>
    <row r="836" spans="2:6" ht="15.75" customHeight="1">
      <c r="B836" s="3">
        <v>16153</v>
      </c>
      <c r="C836" s="3" t="s">
        <v>55</v>
      </c>
      <c r="D836" s="3" t="s">
        <v>75</v>
      </c>
      <c r="E836" s="3"/>
      <c r="F836" s="3" t="s">
        <v>1177</v>
      </c>
    </row>
    <row r="837" spans="2:6" ht="15.75" customHeight="1">
      <c r="B837" s="3">
        <v>16154</v>
      </c>
      <c r="C837" s="3" t="s">
        <v>19</v>
      </c>
      <c r="D837" s="3" t="s">
        <v>49</v>
      </c>
      <c r="E837" s="3"/>
      <c r="F837" s="3" t="s">
        <v>1178</v>
      </c>
    </row>
    <row r="838" spans="2:6" ht="15.75" customHeight="1">
      <c r="B838" s="3">
        <v>16155</v>
      </c>
      <c r="C838" s="3" t="s">
        <v>24</v>
      </c>
      <c r="D838" s="3" t="s">
        <v>20</v>
      </c>
      <c r="E838" s="3"/>
      <c r="F838" s="3" t="s">
        <v>1179</v>
      </c>
    </row>
    <row r="839" spans="2:6" ht="15.75" customHeight="1">
      <c r="B839" s="3">
        <v>16156</v>
      </c>
      <c r="C839" s="3" t="s">
        <v>26</v>
      </c>
      <c r="D839" s="3" t="s">
        <v>49</v>
      </c>
      <c r="E839" s="3"/>
      <c r="F839" s="3" t="s">
        <v>1180</v>
      </c>
    </row>
    <row r="840" spans="2:6" ht="15.75" customHeight="1">
      <c r="B840" s="3">
        <v>16157</v>
      </c>
      <c r="C840" s="3" t="s">
        <v>51</v>
      </c>
      <c r="D840" s="3" t="s">
        <v>20</v>
      </c>
      <c r="E840" s="3"/>
      <c r="F840" s="3" t="s">
        <v>1181</v>
      </c>
    </row>
    <row r="841" spans="2:6" ht="15.75" customHeight="1">
      <c r="B841" s="3">
        <v>16158</v>
      </c>
      <c r="C841" s="3" t="s">
        <v>31</v>
      </c>
      <c r="D841" s="3" t="s">
        <v>46</v>
      </c>
      <c r="E841" s="3"/>
      <c r="F841" s="3" t="s">
        <v>1182</v>
      </c>
    </row>
    <row r="842" spans="2:6" ht="15.75" customHeight="1">
      <c r="B842" s="3">
        <v>16159</v>
      </c>
      <c r="C842" s="3" t="s">
        <v>31</v>
      </c>
      <c r="D842" s="3" t="s">
        <v>57</v>
      </c>
      <c r="E842" s="3"/>
      <c r="F842" s="3" t="s">
        <v>1183</v>
      </c>
    </row>
    <row r="843" spans="2:6" ht="15.75" customHeight="1">
      <c r="B843" s="3">
        <v>16160</v>
      </c>
      <c r="C843" s="3" t="s">
        <v>55</v>
      </c>
      <c r="D843" s="3" t="s">
        <v>57</v>
      </c>
      <c r="E843" s="3"/>
      <c r="F843" s="3" t="s">
        <v>1184</v>
      </c>
    </row>
    <row r="844" spans="2:6" ht="15.75" customHeight="1">
      <c r="B844" s="3">
        <v>16161</v>
      </c>
      <c r="C844" s="3" t="s">
        <v>24</v>
      </c>
      <c r="D844" s="3" t="s">
        <v>49</v>
      </c>
      <c r="E844" s="3"/>
      <c r="F844" s="3" t="s">
        <v>1185</v>
      </c>
    </row>
    <row r="845" spans="2:6" ht="15.75" customHeight="1">
      <c r="B845" s="3">
        <v>16162</v>
      </c>
      <c r="C845" s="3" t="s">
        <v>39</v>
      </c>
      <c r="D845" s="3" t="s">
        <v>49</v>
      </c>
      <c r="E845" s="3"/>
      <c r="F845" s="3" t="s">
        <v>1186</v>
      </c>
    </row>
    <row r="846" spans="2:6" ht="15.75" customHeight="1">
      <c r="B846" s="3">
        <v>16163</v>
      </c>
      <c r="C846" s="3" t="s">
        <v>24</v>
      </c>
      <c r="D846" s="3" t="s">
        <v>20</v>
      </c>
      <c r="E846" s="3"/>
      <c r="F846" s="3" t="s">
        <v>1187</v>
      </c>
    </row>
    <row r="847" spans="2:6" ht="15.75" customHeight="1">
      <c r="B847" s="3">
        <v>16164</v>
      </c>
      <c r="C847" s="3" t="s">
        <v>24</v>
      </c>
      <c r="D847" s="3" t="s">
        <v>33</v>
      </c>
      <c r="E847" s="3"/>
      <c r="F847" s="3" t="s">
        <v>1188</v>
      </c>
    </row>
    <row r="848" spans="2:6" ht="15.75" customHeight="1">
      <c r="B848" s="3">
        <v>16165</v>
      </c>
      <c r="C848" s="3" t="s">
        <v>19</v>
      </c>
      <c r="D848" s="3" t="s">
        <v>28</v>
      </c>
      <c r="E848" s="3"/>
      <c r="F848" s="3" t="s">
        <v>1189</v>
      </c>
    </row>
    <row r="849" spans="2:6" ht="15.75" customHeight="1">
      <c r="B849" s="3">
        <v>16166</v>
      </c>
      <c r="C849" s="3" t="s">
        <v>39</v>
      </c>
      <c r="D849" s="3" t="s">
        <v>28</v>
      </c>
      <c r="E849" s="3"/>
      <c r="F849" s="3" t="s">
        <v>1190</v>
      </c>
    </row>
    <row r="850" spans="2:6" ht="15.75" customHeight="1">
      <c r="B850" s="3">
        <v>16167</v>
      </c>
      <c r="C850" s="3" t="s">
        <v>31</v>
      </c>
      <c r="D850" s="3" t="s">
        <v>89</v>
      </c>
      <c r="E850" s="3"/>
      <c r="F850" s="3" t="s">
        <v>1191</v>
      </c>
    </row>
    <row r="851" spans="2:6" ht="15.75" customHeight="1">
      <c r="B851" s="3">
        <v>16168</v>
      </c>
      <c r="C851" s="3" t="s">
        <v>55</v>
      </c>
      <c r="D851" s="3" t="s">
        <v>49</v>
      </c>
      <c r="E851" s="3"/>
      <c r="F851" s="3" t="s">
        <v>1192</v>
      </c>
    </row>
    <row r="852" spans="2:6" ht="15.75" customHeight="1">
      <c r="B852" s="3">
        <v>16169</v>
      </c>
      <c r="C852" s="3" t="s">
        <v>24</v>
      </c>
      <c r="D852" s="3" t="s">
        <v>53</v>
      </c>
      <c r="E852" s="3"/>
      <c r="F852" s="3" t="s">
        <v>1193</v>
      </c>
    </row>
    <row r="853" spans="2:6" ht="15.75" customHeight="1">
      <c r="B853" s="3">
        <v>16170</v>
      </c>
      <c r="C853" s="3" t="s">
        <v>24</v>
      </c>
      <c r="D853" s="3" t="s">
        <v>53</v>
      </c>
      <c r="E853" s="3"/>
      <c r="F853" s="3" t="s">
        <v>1194</v>
      </c>
    </row>
    <row r="854" spans="2:6" ht="15.75" customHeight="1">
      <c r="B854" s="3">
        <v>16171</v>
      </c>
      <c r="C854" s="3" t="s">
        <v>44</v>
      </c>
      <c r="D854" s="3" t="s">
        <v>75</v>
      </c>
      <c r="E854" s="3"/>
      <c r="F854" s="3" t="s">
        <v>1195</v>
      </c>
    </row>
    <row r="855" spans="2:6" ht="15.75" customHeight="1">
      <c r="B855" s="3">
        <v>16172</v>
      </c>
      <c r="C855" s="3" t="s">
        <v>24</v>
      </c>
      <c r="D855" s="3" t="s">
        <v>46</v>
      </c>
      <c r="E855" s="3"/>
      <c r="F855" s="3" t="s">
        <v>1196</v>
      </c>
    </row>
    <row r="856" spans="2:6" ht="15.75" customHeight="1">
      <c r="B856" s="3">
        <v>16173</v>
      </c>
      <c r="C856" s="3" t="s">
        <v>67</v>
      </c>
      <c r="D856" s="3" t="s">
        <v>83</v>
      </c>
      <c r="E856" s="3"/>
      <c r="F856" s="3" t="s">
        <v>1197</v>
      </c>
    </row>
    <row r="857" spans="2:6" ht="15.75" customHeight="1">
      <c r="B857" s="3">
        <v>16174</v>
      </c>
      <c r="C857" s="3" t="s">
        <v>39</v>
      </c>
      <c r="D857" s="3" t="s">
        <v>20</v>
      </c>
      <c r="E857" s="3"/>
      <c r="F857" s="3" t="s">
        <v>1198</v>
      </c>
    </row>
    <row r="858" spans="2:6" ht="15.75" customHeight="1">
      <c r="B858" s="3">
        <v>16175</v>
      </c>
      <c r="C858" s="3" t="s">
        <v>24</v>
      </c>
      <c r="D858" s="3" t="s">
        <v>46</v>
      </c>
      <c r="E858" s="3"/>
      <c r="F858" s="3" t="s">
        <v>1199</v>
      </c>
    </row>
    <row r="859" spans="2:6" ht="15.75" customHeight="1">
      <c r="B859" s="3">
        <v>16176</v>
      </c>
      <c r="C859" s="3" t="s">
        <v>24</v>
      </c>
      <c r="D859" s="3" t="s">
        <v>46</v>
      </c>
      <c r="E859" s="3"/>
      <c r="F859" s="3" t="s">
        <v>1200</v>
      </c>
    </row>
    <row r="860" spans="2:6" ht="15.75" customHeight="1">
      <c r="B860" s="3">
        <v>16177</v>
      </c>
      <c r="C860" s="3" t="s">
        <v>51</v>
      </c>
      <c r="D860" s="3" t="s">
        <v>53</v>
      </c>
      <c r="E860" s="3"/>
      <c r="F860" s="3" t="s">
        <v>1201</v>
      </c>
    </row>
    <row r="861" spans="2:6" ht="15.75" customHeight="1">
      <c r="B861" s="3">
        <v>16178</v>
      </c>
      <c r="C861" s="3" t="s">
        <v>31</v>
      </c>
      <c r="D861" s="3" t="s">
        <v>20</v>
      </c>
      <c r="E861" s="3"/>
      <c r="F861" s="3" t="s">
        <v>1202</v>
      </c>
    </row>
    <row r="862" spans="2:6" ht="15.75" customHeight="1">
      <c r="B862" s="3">
        <v>16179</v>
      </c>
      <c r="C862" s="3" t="s">
        <v>24</v>
      </c>
      <c r="D862" s="3" t="s">
        <v>49</v>
      </c>
      <c r="E862" s="3"/>
      <c r="F862" s="3" t="s">
        <v>1203</v>
      </c>
    </row>
    <row r="863" spans="2:6" ht="15.75" customHeight="1">
      <c r="B863" s="3">
        <v>16180</v>
      </c>
      <c r="C863" s="3" t="s">
        <v>61</v>
      </c>
      <c r="D863" s="3" t="s">
        <v>46</v>
      </c>
      <c r="E863" s="3"/>
      <c r="F863" s="3" t="s">
        <v>1204</v>
      </c>
    </row>
    <row r="864" spans="2:6" ht="15.75" customHeight="1">
      <c r="B864" s="3">
        <v>16181</v>
      </c>
      <c r="C864" s="3" t="s">
        <v>31</v>
      </c>
      <c r="D864" s="3" t="s">
        <v>28</v>
      </c>
      <c r="E864" s="3"/>
      <c r="F864" s="3" t="s">
        <v>1205</v>
      </c>
    </row>
    <row r="865" spans="2:6" ht="15.75" customHeight="1">
      <c r="B865" s="3">
        <v>16182</v>
      </c>
      <c r="C865" s="3" t="s">
        <v>26</v>
      </c>
      <c r="D865" s="3" t="s">
        <v>89</v>
      </c>
      <c r="E865" s="3"/>
      <c r="F865" s="3" t="s">
        <v>1206</v>
      </c>
    </row>
    <row r="866" spans="2:6" ht="15.75" customHeight="1">
      <c r="B866" s="3">
        <v>16183</v>
      </c>
      <c r="C866" s="3" t="s">
        <v>24</v>
      </c>
      <c r="D866" s="3" t="s">
        <v>75</v>
      </c>
      <c r="E866" s="3"/>
      <c r="F866" s="3" t="s">
        <v>1207</v>
      </c>
    </row>
    <row r="867" spans="2:6" ht="15.75" customHeight="1">
      <c r="B867" s="3">
        <v>16184</v>
      </c>
      <c r="C867" s="3" t="s">
        <v>26</v>
      </c>
      <c r="D867" s="3" t="s">
        <v>49</v>
      </c>
      <c r="E867" s="3"/>
      <c r="F867" s="3" t="s">
        <v>1208</v>
      </c>
    </row>
    <row r="868" spans="2:6" ht="15.75" customHeight="1">
      <c r="B868" s="3">
        <v>16185</v>
      </c>
      <c r="C868" s="3" t="s">
        <v>61</v>
      </c>
      <c r="D868" s="3" t="s">
        <v>83</v>
      </c>
      <c r="E868" s="3"/>
      <c r="F868" s="3" t="s">
        <v>1209</v>
      </c>
    </row>
    <row r="869" spans="2:6" ht="15.75" customHeight="1">
      <c r="B869" s="3">
        <v>16186</v>
      </c>
      <c r="C869" s="3" t="s">
        <v>26</v>
      </c>
      <c r="D869" s="3" t="s">
        <v>89</v>
      </c>
      <c r="E869" s="3"/>
      <c r="F869" s="3" t="s">
        <v>1210</v>
      </c>
    </row>
    <row r="870" spans="2:6" ht="15.75" customHeight="1">
      <c r="B870" s="3">
        <v>16187</v>
      </c>
      <c r="C870" s="3" t="s">
        <v>51</v>
      </c>
      <c r="D870" s="3" t="s">
        <v>46</v>
      </c>
      <c r="E870" s="3"/>
      <c r="F870" s="3" t="s">
        <v>1211</v>
      </c>
    </row>
    <row r="871" spans="2:6" ht="15.75" customHeight="1">
      <c r="B871" s="3">
        <v>16188</v>
      </c>
      <c r="C871" s="3" t="s">
        <v>51</v>
      </c>
      <c r="D871" s="3" t="s">
        <v>89</v>
      </c>
      <c r="E871" s="3"/>
      <c r="F871" s="3" t="s">
        <v>1212</v>
      </c>
    </row>
    <row r="872" spans="2:6" ht="15.75" customHeight="1">
      <c r="B872" s="3">
        <v>16189</v>
      </c>
      <c r="C872" s="3" t="s">
        <v>55</v>
      </c>
      <c r="D872" s="3" t="s">
        <v>57</v>
      </c>
      <c r="E872" s="3"/>
      <c r="F872" s="3" t="s">
        <v>1213</v>
      </c>
    </row>
    <row r="873" spans="2:6" ht="15.75" customHeight="1">
      <c r="B873" s="3">
        <v>16190</v>
      </c>
      <c r="C873" s="3" t="s">
        <v>51</v>
      </c>
      <c r="D873" s="3" t="s">
        <v>75</v>
      </c>
      <c r="E873" s="3"/>
      <c r="F873" s="3" t="s">
        <v>1214</v>
      </c>
    </row>
    <row r="874" spans="2:6" ht="15.75" customHeight="1">
      <c r="B874" s="3">
        <v>16191</v>
      </c>
      <c r="C874" s="3" t="s">
        <v>44</v>
      </c>
      <c r="D874" s="3" t="s">
        <v>83</v>
      </c>
      <c r="E874" s="3"/>
      <c r="F874" s="3" t="s">
        <v>1215</v>
      </c>
    </row>
    <row r="875" spans="2:6" ht="15.75" customHeight="1">
      <c r="B875" s="3">
        <v>16192</v>
      </c>
      <c r="C875" s="3" t="s">
        <v>44</v>
      </c>
      <c r="D875" s="3" t="s">
        <v>28</v>
      </c>
      <c r="E875" s="3"/>
      <c r="F875" s="3" t="s">
        <v>1216</v>
      </c>
    </row>
    <row r="876" spans="2:6" ht="15.75" customHeight="1">
      <c r="B876" s="3">
        <v>16193</v>
      </c>
      <c r="C876" s="3" t="s">
        <v>61</v>
      </c>
      <c r="D876" s="3" t="s">
        <v>57</v>
      </c>
      <c r="E876" s="3"/>
      <c r="F876" s="3" t="s">
        <v>1217</v>
      </c>
    </row>
    <row r="877" spans="2:6" ht="15.75" customHeight="1">
      <c r="B877" s="3">
        <v>16194</v>
      </c>
      <c r="C877" s="3" t="s">
        <v>19</v>
      </c>
      <c r="D877" s="3" t="s">
        <v>57</v>
      </c>
      <c r="E877" s="3"/>
      <c r="F877" s="3" t="s">
        <v>1218</v>
      </c>
    </row>
    <row r="878" spans="2:6" ht="15.75" customHeight="1">
      <c r="B878" s="3">
        <v>16195</v>
      </c>
      <c r="C878" s="3" t="s">
        <v>51</v>
      </c>
      <c r="D878" s="3" t="s">
        <v>83</v>
      </c>
      <c r="E878" s="3"/>
      <c r="F878" s="3" t="s">
        <v>1219</v>
      </c>
    </row>
    <row r="879" spans="2:6" ht="15.75" customHeight="1">
      <c r="B879" s="3">
        <v>16196</v>
      </c>
      <c r="C879" s="3" t="s">
        <v>67</v>
      </c>
      <c r="D879" s="3" t="s">
        <v>20</v>
      </c>
      <c r="E879" s="3"/>
      <c r="F879" s="3" t="s">
        <v>1220</v>
      </c>
    </row>
    <row r="880" spans="2:6" ht="15.75" customHeight="1">
      <c r="B880" s="3">
        <v>16197</v>
      </c>
      <c r="C880" s="3" t="s">
        <v>24</v>
      </c>
      <c r="D880" s="3" t="s">
        <v>57</v>
      </c>
      <c r="E880" s="3"/>
      <c r="F880" s="3" t="s">
        <v>1221</v>
      </c>
    </row>
    <row r="881" spans="2:6" ht="15.75" customHeight="1">
      <c r="B881" s="3">
        <v>16198</v>
      </c>
      <c r="C881" s="3" t="s">
        <v>39</v>
      </c>
      <c r="D881" s="3" t="s">
        <v>89</v>
      </c>
      <c r="E881" s="3"/>
      <c r="F881" s="3" t="s">
        <v>1222</v>
      </c>
    </row>
    <row r="882" spans="2:6" ht="15.75" customHeight="1">
      <c r="B882" s="3">
        <v>16199</v>
      </c>
      <c r="C882" s="3" t="s">
        <v>26</v>
      </c>
      <c r="D882" s="3" t="s">
        <v>28</v>
      </c>
      <c r="E882" s="3"/>
      <c r="F882" s="3" t="s">
        <v>1223</v>
      </c>
    </row>
    <row r="883" spans="2:6" ht="15.75" customHeight="1">
      <c r="B883" s="3">
        <v>16200</v>
      </c>
      <c r="C883" s="3" t="s">
        <v>19</v>
      </c>
      <c r="D883" s="3" t="s">
        <v>89</v>
      </c>
      <c r="E883" s="3"/>
      <c r="F883" s="3" t="s">
        <v>1224</v>
      </c>
    </row>
    <row r="884" spans="2:6" ht="15.75" customHeight="1">
      <c r="B884" s="3">
        <v>16201</v>
      </c>
      <c r="C884" s="3" t="s">
        <v>39</v>
      </c>
      <c r="D884" s="3" t="s">
        <v>83</v>
      </c>
      <c r="E884" s="3"/>
      <c r="F884" s="3" t="s">
        <v>1225</v>
      </c>
    </row>
    <row r="885" spans="2:6" ht="15.75" customHeight="1">
      <c r="B885" s="3">
        <v>16202</v>
      </c>
      <c r="C885" s="3" t="s">
        <v>67</v>
      </c>
      <c r="D885" s="3" t="s">
        <v>28</v>
      </c>
      <c r="E885" s="3"/>
      <c r="F885" s="3" t="s">
        <v>1226</v>
      </c>
    </row>
    <row r="886" spans="2:6" ht="15.75" customHeight="1">
      <c r="B886" s="3">
        <v>16203</v>
      </c>
      <c r="C886" s="3" t="s">
        <v>67</v>
      </c>
      <c r="D886" s="3" t="s">
        <v>20</v>
      </c>
      <c r="E886" s="3"/>
      <c r="F886" s="3" t="s">
        <v>1227</v>
      </c>
    </row>
    <row r="887" spans="2:6" ht="15.75" customHeight="1">
      <c r="B887" s="3">
        <v>16204</v>
      </c>
      <c r="C887" s="3" t="s">
        <v>44</v>
      </c>
      <c r="D887" s="3" t="s">
        <v>75</v>
      </c>
      <c r="E887" s="3"/>
      <c r="F887" s="3" t="s">
        <v>1228</v>
      </c>
    </row>
    <row r="888" spans="2:6" ht="15.75" customHeight="1">
      <c r="B888" s="3">
        <v>16205</v>
      </c>
      <c r="C888" s="3" t="s">
        <v>31</v>
      </c>
      <c r="D888" s="3" t="s">
        <v>46</v>
      </c>
      <c r="E888" s="3"/>
      <c r="F888" s="3" t="s">
        <v>1229</v>
      </c>
    </row>
    <row r="889" spans="2:6" ht="15.75" customHeight="1">
      <c r="B889" s="3">
        <v>16206</v>
      </c>
      <c r="C889" s="3" t="s">
        <v>24</v>
      </c>
      <c r="D889" s="3" t="s">
        <v>28</v>
      </c>
      <c r="E889" s="3"/>
      <c r="F889" s="3" t="s">
        <v>1230</v>
      </c>
    </row>
    <row r="890" spans="2:6" ht="15.75" customHeight="1">
      <c r="B890" s="3">
        <v>16207</v>
      </c>
      <c r="C890" s="3" t="s">
        <v>55</v>
      </c>
      <c r="D890" s="3" t="s">
        <v>20</v>
      </c>
      <c r="E890" s="3"/>
      <c r="F890" s="3" t="s">
        <v>1231</v>
      </c>
    </row>
    <row r="891" spans="2:6" ht="15.75" customHeight="1">
      <c r="B891" s="3">
        <v>16208</v>
      </c>
      <c r="C891" s="3" t="s">
        <v>61</v>
      </c>
      <c r="D891" s="3" t="s">
        <v>57</v>
      </c>
      <c r="E891" s="3"/>
      <c r="F891" s="3" t="s">
        <v>1232</v>
      </c>
    </row>
    <row r="892" spans="2:6" ht="15.75" customHeight="1">
      <c r="B892" s="3">
        <v>16209</v>
      </c>
      <c r="C892" s="3" t="s">
        <v>24</v>
      </c>
      <c r="D892" s="3" t="s">
        <v>89</v>
      </c>
      <c r="E892" s="3"/>
      <c r="F892" s="3" t="s">
        <v>1233</v>
      </c>
    </row>
    <row r="893" spans="2:6" ht="15.75" customHeight="1">
      <c r="B893" s="3">
        <v>16210</v>
      </c>
      <c r="C893" s="3" t="s">
        <v>67</v>
      </c>
      <c r="D893" s="3" t="s">
        <v>83</v>
      </c>
      <c r="E893" s="3"/>
      <c r="F893" s="3" t="s">
        <v>1234</v>
      </c>
    </row>
    <row r="894" spans="2:6" ht="15.75" customHeight="1">
      <c r="B894" s="3">
        <v>16211</v>
      </c>
      <c r="C894" s="3" t="s">
        <v>19</v>
      </c>
      <c r="D894" s="3" t="s">
        <v>83</v>
      </c>
      <c r="E894" s="3"/>
      <c r="F894" s="3" t="s">
        <v>1235</v>
      </c>
    </row>
    <row r="895" spans="2:6" ht="15.75" customHeight="1">
      <c r="B895" s="3">
        <v>16212</v>
      </c>
      <c r="C895" s="3" t="s">
        <v>39</v>
      </c>
      <c r="D895" s="3" t="s">
        <v>46</v>
      </c>
      <c r="E895" s="3"/>
      <c r="F895" s="3" t="s">
        <v>1236</v>
      </c>
    </row>
    <row r="896" spans="2:6" ht="15.75" customHeight="1">
      <c r="B896" s="3">
        <v>16213</v>
      </c>
      <c r="C896" s="3" t="s">
        <v>39</v>
      </c>
      <c r="D896" s="3" t="s">
        <v>33</v>
      </c>
      <c r="E896" s="3"/>
      <c r="F896" s="3" t="s">
        <v>1237</v>
      </c>
    </row>
    <row r="897" spans="2:6" ht="15.75" customHeight="1">
      <c r="B897" s="3">
        <v>16214</v>
      </c>
      <c r="C897" s="3" t="s">
        <v>19</v>
      </c>
      <c r="D897" s="3" t="s">
        <v>53</v>
      </c>
      <c r="E897" s="3"/>
      <c r="F897" s="3" t="s">
        <v>1238</v>
      </c>
    </row>
    <row r="898" spans="2:6" ht="15.75" customHeight="1">
      <c r="B898" s="3">
        <v>16215</v>
      </c>
      <c r="C898" s="3" t="s">
        <v>55</v>
      </c>
      <c r="D898" s="3" t="s">
        <v>53</v>
      </c>
      <c r="E898" s="3"/>
      <c r="F898" s="3" t="s">
        <v>1239</v>
      </c>
    </row>
    <row r="899" spans="2:6" ht="15.75" customHeight="1">
      <c r="B899" s="3">
        <v>16216</v>
      </c>
      <c r="C899" s="3" t="s">
        <v>26</v>
      </c>
      <c r="D899" s="3" t="s">
        <v>33</v>
      </c>
      <c r="E899" s="3"/>
      <c r="F899" s="3" t="s">
        <v>1240</v>
      </c>
    </row>
    <row r="900" spans="2:6" ht="15.75" customHeight="1">
      <c r="B900" s="3">
        <v>16217</v>
      </c>
      <c r="C900" s="3" t="s">
        <v>24</v>
      </c>
      <c r="D900" s="3" t="s">
        <v>89</v>
      </c>
      <c r="E900" s="3"/>
      <c r="F900" s="3" t="s">
        <v>1241</v>
      </c>
    </row>
    <row r="901" spans="2:6" ht="15.75" customHeight="1">
      <c r="B901" s="3">
        <v>16218</v>
      </c>
      <c r="C901" s="3" t="s">
        <v>67</v>
      </c>
      <c r="D901" s="3" t="s">
        <v>33</v>
      </c>
      <c r="E901" s="3"/>
      <c r="F901" s="3" t="s">
        <v>1242</v>
      </c>
    </row>
    <row r="902" spans="2:6" ht="15.75" customHeight="1">
      <c r="B902" s="3">
        <v>16219</v>
      </c>
      <c r="C902" s="3" t="s">
        <v>51</v>
      </c>
      <c r="D902" s="3" t="s">
        <v>20</v>
      </c>
      <c r="E902" s="3"/>
      <c r="F902" s="3" t="s">
        <v>1243</v>
      </c>
    </row>
    <row r="903" spans="2:6" ht="15.75" customHeight="1">
      <c r="B903" s="3">
        <v>16220</v>
      </c>
      <c r="C903" s="3" t="s">
        <v>51</v>
      </c>
      <c r="D903" s="3" t="s">
        <v>53</v>
      </c>
      <c r="E903" s="3"/>
      <c r="F903" s="3" t="s">
        <v>1244</v>
      </c>
    </row>
    <row r="904" spans="2:6" ht="15.75" customHeight="1">
      <c r="B904" s="3">
        <v>16221</v>
      </c>
      <c r="C904" s="3" t="s">
        <v>24</v>
      </c>
      <c r="D904" s="3" t="s">
        <v>75</v>
      </c>
      <c r="E904" s="3"/>
      <c r="F904" s="3" t="s">
        <v>1245</v>
      </c>
    </row>
    <row r="905" spans="2:6" ht="15.75" customHeight="1">
      <c r="B905" s="3">
        <v>16222</v>
      </c>
      <c r="C905" s="3" t="s">
        <v>24</v>
      </c>
      <c r="D905" s="3" t="s">
        <v>28</v>
      </c>
      <c r="E905" s="3"/>
      <c r="F905" s="3" t="s">
        <v>1246</v>
      </c>
    </row>
    <row r="906" spans="2:6" ht="15.75" customHeight="1">
      <c r="B906" s="3">
        <v>16223</v>
      </c>
      <c r="C906" s="3" t="s">
        <v>55</v>
      </c>
      <c r="D906" s="3" t="s">
        <v>49</v>
      </c>
      <c r="E906" s="3"/>
      <c r="F906" s="3" t="s">
        <v>1247</v>
      </c>
    </row>
    <row r="907" spans="2:6" ht="15.75" customHeight="1">
      <c r="B907" s="3">
        <v>16224</v>
      </c>
      <c r="C907" s="3" t="s">
        <v>67</v>
      </c>
      <c r="D907" s="3" t="s">
        <v>46</v>
      </c>
      <c r="E907" s="3"/>
      <c r="F907" s="3" t="s">
        <v>1248</v>
      </c>
    </row>
    <row r="908" spans="2:6" ht="15.75" customHeight="1">
      <c r="B908" s="3">
        <v>16225</v>
      </c>
      <c r="C908" s="3" t="s">
        <v>51</v>
      </c>
      <c r="D908" s="3" t="s">
        <v>49</v>
      </c>
      <c r="E908" s="3"/>
      <c r="F908" s="3" t="s">
        <v>1249</v>
      </c>
    </row>
    <row r="909" spans="2:6" ht="15.75" customHeight="1">
      <c r="B909" s="3">
        <v>16226</v>
      </c>
      <c r="C909" s="3" t="s">
        <v>26</v>
      </c>
      <c r="D909" s="3" t="s">
        <v>57</v>
      </c>
      <c r="E909" s="3"/>
      <c r="F909" s="3" t="s">
        <v>1250</v>
      </c>
    </row>
    <row r="910" spans="2:6" ht="15.75" customHeight="1">
      <c r="B910" s="3">
        <v>16227</v>
      </c>
      <c r="C910" s="3" t="s">
        <v>26</v>
      </c>
      <c r="D910" s="3" t="s">
        <v>57</v>
      </c>
      <c r="E910" s="3"/>
      <c r="F910" s="3" t="s">
        <v>1251</v>
      </c>
    </row>
    <row r="911" spans="2:6" ht="15.75" customHeight="1">
      <c r="B911" s="3">
        <v>16228</v>
      </c>
      <c r="C911" s="3" t="s">
        <v>61</v>
      </c>
      <c r="D911" s="3" t="s">
        <v>33</v>
      </c>
      <c r="E911" s="3"/>
      <c r="F911" s="3" t="s">
        <v>1252</v>
      </c>
    </row>
    <row r="912" spans="2:6" ht="15.75" customHeight="1">
      <c r="B912" s="3">
        <v>16229</v>
      </c>
      <c r="C912" s="3" t="s">
        <v>44</v>
      </c>
      <c r="D912" s="3" t="s">
        <v>57</v>
      </c>
      <c r="E912" s="3"/>
      <c r="F912" s="3" t="s">
        <v>1253</v>
      </c>
    </row>
    <row r="913" spans="2:6" ht="15.75" customHeight="1">
      <c r="B913" s="3">
        <v>16230</v>
      </c>
      <c r="C913" s="3" t="s">
        <v>26</v>
      </c>
      <c r="D913" s="3" t="s">
        <v>49</v>
      </c>
      <c r="E913" s="3"/>
      <c r="F913" s="3" t="s">
        <v>1254</v>
      </c>
    </row>
    <row r="914" spans="2:6" ht="15.75" customHeight="1">
      <c r="B914" s="3">
        <v>16231</v>
      </c>
      <c r="C914" s="3" t="s">
        <v>31</v>
      </c>
      <c r="D914" s="3" t="s">
        <v>57</v>
      </c>
      <c r="E914" s="3"/>
      <c r="F914" s="3" t="s">
        <v>1255</v>
      </c>
    </row>
    <row r="915" spans="2:6" ht="15.75" customHeight="1">
      <c r="B915" s="3">
        <v>16232</v>
      </c>
      <c r="C915" s="3" t="s">
        <v>19</v>
      </c>
      <c r="D915" s="3" t="s">
        <v>28</v>
      </c>
      <c r="E915" s="3"/>
      <c r="F915" s="3" t="s">
        <v>1256</v>
      </c>
    </row>
    <row r="916" spans="2:6" ht="15.75" customHeight="1">
      <c r="B916" s="3">
        <v>16233</v>
      </c>
      <c r="C916" s="3" t="s">
        <v>61</v>
      </c>
      <c r="D916" s="3" t="s">
        <v>83</v>
      </c>
      <c r="E916" s="3"/>
      <c r="F916" s="3" t="s">
        <v>1257</v>
      </c>
    </row>
    <row r="917" spans="2:6" ht="15.75" customHeight="1">
      <c r="B917" s="3">
        <v>16234</v>
      </c>
      <c r="C917" s="3" t="s">
        <v>24</v>
      </c>
      <c r="D917" s="3" t="s">
        <v>33</v>
      </c>
      <c r="E917" s="3"/>
      <c r="F917" s="3" t="s">
        <v>1258</v>
      </c>
    </row>
    <row r="918" spans="2:6" ht="15.75" customHeight="1">
      <c r="B918" s="3">
        <v>16235</v>
      </c>
      <c r="C918" s="3" t="s">
        <v>51</v>
      </c>
      <c r="D918" s="3" t="s">
        <v>49</v>
      </c>
      <c r="E918" s="3"/>
      <c r="F918" s="3" t="s">
        <v>1259</v>
      </c>
    </row>
    <row r="919" spans="2:6" ht="15.75" customHeight="1">
      <c r="B919" s="3">
        <v>16236</v>
      </c>
      <c r="C919" s="3" t="s">
        <v>24</v>
      </c>
      <c r="D919" s="3" t="s">
        <v>28</v>
      </c>
      <c r="E919" s="3"/>
      <c r="F919" s="3" t="s">
        <v>1260</v>
      </c>
    </row>
    <row r="920" spans="2:6" ht="15.75" customHeight="1">
      <c r="B920" s="3">
        <v>16237</v>
      </c>
      <c r="C920" s="3" t="s">
        <v>51</v>
      </c>
      <c r="D920" s="3" t="s">
        <v>49</v>
      </c>
      <c r="E920" s="3"/>
      <c r="F920" s="3" t="s">
        <v>1261</v>
      </c>
    </row>
    <row r="921" spans="2:6" ht="15.75" customHeight="1">
      <c r="B921" s="3">
        <v>16238</v>
      </c>
      <c r="C921" s="3" t="s">
        <v>67</v>
      </c>
      <c r="D921" s="3" t="s">
        <v>89</v>
      </c>
      <c r="E921" s="3"/>
      <c r="F921" s="3" t="s">
        <v>1262</v>
      </c>
    </row>
    <row r="922" spans="2:6" ht="15.75" customHeight="1">
      <c r="B922" s="3">
        <v>16239</v>
      </c>
      <c r="C922" s="3" t="s">
        <v>67</v>
      </c>
      <c r="D922" s="3" t="s">
        <v>28</v>
      </c>
      <c r="E922" s="3"/>
      <c r="F922" s="3" t="s">
        <v>1263</v>
      </c>
    </row>
    <row r="923" spans="2:6" ht="15.75" customHeight="1">
      <c r="B923" s="3">
        <v>16240</v>
      </c>
      <c r="C923" s="3" t="s">
        <v>55</v>
      </c>
      <c r="D923" s="3" t="s">
        <v>57</v>
      </c>
      <c r="E923" s="3"/>
      <c r="F923" s="3" t="s">
        <v>1264</v>
      </c>
    </row>
    <row r="924" spans="2:6" ht="15.75" customHeight="1">
      <c r="B924" s="3">
        <v>16241</v>
      </c>
      <c r="C924" s="3" t="s">
        <v>31</v>
      </c>
      <c r="D924" s="3" t="s">
        <v>53</v>
      </c>
      <c r="E924" s="3"/>
      <c r="F924" s="3" t="s">
        <v>1265</v>
      </c>
    </row>
    <row r="925" spans="2:6" ht="15.75" customHeight="1">
      <c r="B925" s="3">
        <v>16242</v>
      </c>
      <c r="C925" s="3" t="s">
        <v>26</v>
      </c>
      <c r="D925" s="3" t="s">
        <v>46</v>
      </c>
      <c r="E925" s="3"/>
      <c r="F925" s="3" t="s">
        <v>1266</v>
      </c>
    </row>
    <row r="926" spans="2:6" ht="15.75" customHeight="1">
      <c r="B926" s="3">
        <v>16243</v>
      </c>
      <c r="C926" s="3" t="s">
        <v>55</v>
      </c>
      <c r="D926" s="3" t="s">
        <v>33</v>
      </c>
      <c r="E926" s="3"/>
      <c r="F926" s="3" t="s">
        <v>1267</v>
      </c>
    </row>
    <row r="927" spans="2:6" ht="15.75" customHeight="1">
      <c r="B927" s="3">
        <v>16244</v>
      </c>
      <c r="C927" s="3" t="s">
        <v>55</v>
      </c>
      <c r="D927" s="3" t="s">
        <v>49</v>
      </c>
      <c r="E927" s="3"/>
      <c r="F927" s="3" t="s">
        <v>1268</v>
      </c>
    </row>
    <row r="928" spans="2:6" ht="15.75" customHeight="1">
      <c r="B928" s="3">
        <v>16245</v>
      </c>
      <c r="C928" s="3" t="s">
        <v>39</v>
      </c>
      <c r="D928" s="3" t="s">
        <v>75</v>
      </c>
      <c r="E928" s="3"/>
      <c r="F928" s="3" t="s">
        <v>1269</v>
      </c>
    </row>
    <row r="929" spans="2:6" ht="15.75" customHeight="1">
      <c r="B929" s="3">
        <v>16246</v>
      </c>
      <c r="C929" s="3" t="s">
        <v>26</v>
      </c>
      <c r="D929" s="3" t="s">
        <v>57</v>
      </c>
      <c r="E929" s="3"/>
      <c r="F929" s="3" t="s">
        <v>1270</v>
      </c>
    </row>
    <row r="930" spans="2:6" ht="15.75" customHeight="1">
      <c r="B930" s="3">
        <v>16247</v>
      </c>
      <c r="C930" s="3" t="s">
        <v>55</v>
      </c>
      <c r="D930" s="3" t="s">
        <v>20</v>
      </c>
      <c r="E930" s="3"/>
      <c r="F930" s="3" t="s">
        <v>1271</v>
      </c>
    </row>
    <row r="931" spans="2:6" ht="15.75" customHeight="1">
      <c r="B931" s="3">
        <v>16248</v>
      </c>
      <c r="C931" s="3" t="s">
        <v>67</v>
      </c>
      <c r="D931" s="3" t="s">
        <v>33</v>
      </c>
      <c r="E931" s="3"/>
      <c r="F931" s="3" t="s">
        <v>1272</v>
      </c>
    </row>
    <row r="932" spans="2:6" ht="15.75" customHeight="1">
      <c r="B932" s="3">
        <v>16249</v>
      </c>
      <c r="C932" s="3" t="s">
        <v>61</v>
      </c>
      <c r="D932" s="3" t="s">
        <v>83</v>
      </c>
      <c r="E932" s="3"/>
      <c r="F932" s="3" t="s">
        <v>1273</v>
      </c>
    </row>
    <row r="933" spans="2:6" ht="15.75" customHeight="1">
      <c r="B933" s="3">
        <v>16250</v>
      </c>
      <c r="C933" s="3" t="s">
        <v>67</v>
      </c>
      <c r="D933" s="3" t="s">
        <v>57</v>
      </c>
      <c r="E933" s="3"/>
      <c r="F933" s="3" t="s">
        <v>1274</v>
      </c>
    </row>
    <row r="934" spans="2:6" ht="15.75" customHeight="1">
      <c r="B934" s="3">
        <v>16251</v>
      </c>
      <c r="C934" s="3" t="s">
        <v>39</v>
      </c>
      <c r="D934" s="3" t="s">
        <v>46</v>
      </c>
      <c r="E934" s="3"/>
      <c r="F934" s="3" t="s">
        <v>1275</v>
      </c>
    </row>
    <row r="935" spans="2:6" ht="15.75" customHeight="1">
      <c r="B935" s="3">
        <v>16252</v>
      </c>
      <c r="C935" s="3" t="s">
        <v>24</v>
      </c>
      <c r="D935" s="3" t="s">
        <v>49</v>
      </c>
      <c r="E935" s="3"/>
      <c r="F935" s="3" t="s">
        <v>1276</v>
      </c>
    </row>
    <row r="936" spans="2:6" ht="15.75" customHeight="1">
      <c r="B936" s="3">
        <v>16253</v>
      </c>
      <c r="C936" s="3" t="s">
        <v>26</v>
      </c>
      <c r="D936" s="3" t="s">
        <v>20</v>
      </c>
      <c r="E936" s="3"/>
      <c r="F936" s="3" t="s">
        <v>1277</v>
      </c>
    </row>
    <row r="937" spans="2:6" ht="15.75" customHeight="1">
      <c r="B937" s="3">
        <v>16254</v>
      </c>
      <c r="C937" s="3" t="s">
        <v>51</v>
      </c>
      <c r="D937" s="3" t="s">
        <v>49</v>
      </c>
      <c r="E937" s="3"/>
      <c r="F937" s="3" t="s">
        <v>1278</v>
      </c>
    </row>
    <row r="938" spans="2:6" ht="15.75" customHeight="1">
      <c r="B938" s="3">
        <v>16255</v>
      </c>
      <c r="C938" s="3" t="s">
        <v>31</v>
      </c>
      <c r="D938" s="3" t="s">
        <v>28</v>
      </c>
      <c r="E938" s="3"/>
      <c r="F938" s="3" t="s">
        <v>1279</v>
      </c>
    </row>
    <row r="939" spans="2:6" ht="15.75" customHeight="1">
      <c r="B939" s="3">
        <v>16256</v>
      </c>
      <c r="C939" s="3" t="s">
        <v>19</v>
      </c>
      <c r="D939" s="3" t="s">
        <v>46</v>
      </c>
      <c r="E939" s="3"/>
      <c r="F939" s="3" t="s">
        <v>1280</v>
      </c>
    </row>
    <row r="940" spans="2:6" ht="15.75" customHeight="1">
      <c r="B940" s="3">
        <v>16257</v>
      </c>
      <c r="C940" s="3" t="s">
        <v>55</v>
      </c>
      <c r="D940" s="3" t="s">
        <v>53</v>
      </c>
      <c r="E940" s="3"/>
      <c r="F940" s="3" t="s">
        <v>1281</v>
      </c>
    </row>
    <row r="941" spans="2:6" ht="15.75" customHeight="1">
      <c r="B941" s="3">
        <v>16258</v>
      </c>
      <c r="C941" s="3" t="s">
        <v>55</v>
      </c>
      <c r="D941" s="3" t="s">
        <v>89</v>
      </c>
      <c r="E941" s="3"/>
      <c r="F941" s="3" t="s">
        <v>1282</v>
      </c>
    </row>
    <row r="942" spans="2:6" ht="15.75" customHeight="1">
      <c r="B942" s="3">
        <v>16259</v>
      </c>
      <c r="C942" s="3" t="s">
        <v>31</v>
      </c>
      <c r="D942" s="3" t="s">
        <v>89</v>
      </c>
      <c r="E942" s="3"/>
      <c r="F942" s="3" t="s">
        <v>1283</v>
      </c>
    </row>
    <row r="943" spans="2:6" ht="15.75" customHeight="1">
      <c r="B943" s="3">
        <v>16260</v>
      </c>
      <c r="C943" s="3" t="s">
        <v>39</v>
      </c>
      <c r="D943" s="3" t="s">
        <v>49</v>
      </c>
      <c r="E943" s="3"/>
      <c r="F943" s="3" t="s">
        <v>1284</v>
      </c>
    </row>
    <row r="944" spans="2:6" ht="15.75" customHeight="1">
      <c r="B944" s="3">
        <v>16261</v>
      </c>
      <c r="C944" s="3" t="s">
        <v>44</v>
      </c>
      <c r="D944" s="3" t="s">
        <v>49</v>
      </c>
      <c r="E944" s="3"/>
      <c r="F944" s="3" t="s">
        <v>1285</v>
      </c>
    </row>
    <row r="945" spans="2:6" ht="15.75" customHeight="1">
      <c r="B945" s="3">
        <v>16262</v>
      </c>
      <c r="C945" s="3" t="s">
        <v>61</v>
      </c>
      <c r="D945" s="3" t="s">
        <v>75</v>
      </c>
      <c r="E945" s="3"/>
      <c r="F945" s="3" t="s">
        <v>1286</v>
      </c>
    </row>
    <row r="946" spans="2:6" ht="15.75" customHeight="1">
      <c r="B946" s="3">
        <v>16263</v>
      </c>
      <c r="C946" s="3" t="s">
        <v>31</v>
      </c>
      <c r="D946" s="3" t="s">
        <v>75</v>
      </c>
      <c r="E946" s="3"/>
      <c r="F946" s="3" t="s">
        <v>1287</v>
      </c>
    </row>
    <row r="947" spans="2:6" ht="15.75" customHeight="1">
      <c r="B947" s="3">
        <v>16264</v>
      </c>
      <c r="C947" s="3" t="s">
        <v>31</v>
      </c>
      <c r="D947" s="3" t="s">
        <v>46</v>
      </c>
      <c r="E947" s="3"/>
      <c r="F947" s="3" t="s">
        <v>1288</v>
      </c>
    </row>
    <row r="948" spans="2:6" ht="15.75" customHeight="1">
      <c r="B948" s="3">
        <v>16265</v>
      </c>
      <c r="C948" s="3" t="s">
        <v>26</v>
      </c>
      <c r="D948" s="3" t="s">
        <v>28</v>
      </c>
      <c r="E948" s="3"/>
      <c r="F948" s="3" t="s">
        <v>1289</v>
      </c>
    </row>
    <row r="949" spans="2:6" ht="15.75" customHeight="1">
      <c r="B949" s="3">
        <v>16266</v>
      </c>
      <c r="C949" s="3" t="s">
        <v>31</v>
      </c>
      <c r="D949" s="3" t="s">
        <v>57</v>
      </c>
      <c r="E949" s="3"/>
      <c r="F949" s="3" t="s">
        <v>1290</v>
      </c>
    </row>
    <row r="950" spans="2:6" ht="15.75" customHeight="1">
      <c r="B950" s="3">
        <v>16267</v>
      </c>
      <c r="C950" s="3" t="s">
        <v>39</v>
      </c>
      <c r="D950" s="3" t="s">
        <v>28</v>
      </c>
      <c r="E950" s="3"/>
      <c r="F950" s="3" t="s">
        <v>1291</v>
      </c>
    </row>
    <row r="951" spans="2:6" ht="15.75" customHeight="1">
      <c r="B951" s="3">
        <v>16268</v>
      </c>
      <c r="C951" s="3" t="s">
        <v>51</v>
      </c>
      <c r="D951" s="3" t="s">
        <v>28</v>
      </c>
      <c r="E951" s="3"/>
      <c r="F951" s="3" t="s">
        <v>1292</v>
      </c>
    </row>
    <row r="952" spans="2:6" ht="15.75" customHeight="1">
      <c r="B952" s="3">
        <v>16269</v>
      </c>
      <c r="C952" s="3" t="s">
        <v>44</v>
      </c>
      <c r="D952" s="3" t="s">
        <v>20</v>
      </c>
      <c r="E952" s="3"/>
      <c r="F952" s="3" t="s">
        <v>1293</v>
      </c>
    </row>
    <row r="953" spans="2:6" ht="15.75" customHeight="1">
      <c r="B953" s="3">
        <v>16270</v>
      </c>
      <c r="C953" s="3" t="s">
        <v>67</v>
      </c>
      <c r="D953" s="3" t="s">
        <v>46</v>
      </c>
      <c r="E953" s="3"/>
      <c r="F953" s="3" t="s">
        <v>1294</v>
      </c>
    </row>
    <row r="954" spans="2:6" ht="15.75" customHeight="1">
      <c r="B954" s="3">
        <v>16271</v>
      </c>
      <c r="C954" s="3" t="s">
        <v>19</v>
      </c>
      <c r="D954" s="3" t="s">
        <v>83</v>
      </c>
      <c r="E954" s="3"/>
      <c r="F954" s="3" t="s">
        <v>1295</v>
      </c>
    </row>
    <row r="955" spans="2:6" ht="15.75" customHeight="1">
      <c r="B955" s="3">
        <v>16272</v>
      </c>
      <c r="C955" s="3" t="s">
        <v>31</v>
      </c>
      <c r="D955" s="3" t="s">
        <v>89</v>
      </c>
      <c r="E955" s="3"/>
      <c r="F955" s="3" t="s">
        <v>1296</v>
      </c>
    </row>
    <row r="956" spans="2:6" ht="15.75" customHeight="1">
      <c r="B956" s="3">
        <v>16273</v>
      </c>
      <c r="C956" s="3" t="s">
        <v>61</v>
      </c>
      <c r="D956" s="3" t="s">
        <v>33</v>
      </c>
      <c r="E956" s="3"/>
      <c r="F956" s="3" t="s">
        <v>1297</v>
      </c>
    </row>
    <row r="957" spans="2:6" ht="15.75" customHeight="1">
      <c r="B957" s="3">
        <v>16274</v>
      </c>
      <c r="C957" s="3" t="s">
        <v>44</v>
      </c>
      <c r="D957" s="3" t="s">
        <v>83</v>
      </c>
      <c r="E957" s="3"/>
      <c r="F957" s="3" t="s">
        <v>1298</v>
      </c>
    </row>
    <row r="958" spans="2:6" ht="15.75" customHeight="1">
      <c r="B958" s="3">
        <v>16275</v>
      </c>
      <c r="C958" s="3" t="s">
        <v>26</v>
      </c>
      <c r="D958" s="3" t="s">
        <v>75</v>
      </c>
      <c r="E958" s="3"/>
      <c r="F958" s="3" t="s">
        <v>1299</v>
      </c>
    </row>
    <row r="959" spans="2:6" ht="15.75" customHeight="1">
      <c r="B959" s="3">
        <v>16276</v>
      </c>
      <c r="C959" s="3" t="s">
        <v>51</v>
      </c>
      <c r="D959" s="3" t="s">
        <v>75</v>
      </c>
      <c r="E959" s="3"/>
      <c r="F959" s="3" t="s">
        <v>1300</v>
      </c>
    </row>
    <row r="960" spans="2:6" ht="15.75" customHeight="1">
      <c r="B960" s="3">
        <v>16277</v>
      </c>
      <c r="C960" s="3" t="s">
        <v>67</v>
      </c>
      <c r="D960" s="3" t="s">
        <v>20</v>
      </c>
      <c r="E960" s="3"/>
      <c r="F960" s="3" t="s">
        <v>1301</v>
      </c>
    </row>
    <row r="961" spans="2:6" ht="15.75" customHeight="1">
      <c r="B961" s="3">
        <v>16278</v>
      </c>
      <c r="C961" s="3" t="s">
        <v>67</v>
      </c>
      <c r="D961" s="3" t="s">
        <v>49</v>
      </c>
      <c r="E961" s="3"/>
      <c r="F961" s="3" t="s">
        <v>1302</v>
      </c>
    </row>
    <row r="962" spans="2:6" ht="15.75" customHeight="1">
      <c r="B962" s="3">
        <v>16279</v>
      </c>
      <c r="C962" s="3" t="s">
        <v>67</v>
      </c>
      <c r="D962" s="3" t="s">
        <v>75</v>
      </c>
      <c r="E962" s="3"/>
      <c r="F962" s="3" t="s">
        <v>1303</v>
      </c>
    </row>
    <row r="963" spans="2:6" ht="15.75" customHeight="1">
      <c r="B963" s="3">
        <v>16280</v>
      </c>
      <c r="C963" s="3" t="s">
        <v>67</v>
      </c>
      <c r="D963" s="3" t="s">
        <v>57</v>
      </c>
      <c r="E963" s="3"/>
      <c r="F963" s="3" t="s">
        <v>1304</v>
      </c>
    </row>
    <row r="964" spans="2:6" ht="15.75" customHeight="1">
      <c r="B964" s="3">
        <v>16281</v>
      </c>
      <c r="C964" s="3" t="s">
        <v>19</v>
      </c>
      <c r="D964" s="3" t="s">
        <v>57</v>
      </c>
      <c r="E964" s="3"/>
      <c r="F964" s="3" t="s">
        <v>1305</v>
      </c>
    </row>
    <row r="965" spans="2:6" ht="15.75" customHeight="1">
      <c r="B965" s="3">
        <v>16282</v>
      </c>
      <c r="C965" s="3" t="s">
        <v>55</v>
      </c>
      <c r="D965" s="3" t="s">
        <v>20</v>
      </c>
      <c r="E965" s="3"/>
      <c r="F965" s="3" t="s">
        <v>1306</v>
      </c>
    </row>
    <row r="966" spans="2:6" ht="15.75" customHeight="1">
      <c r="B966" s="3">
        <v>16283</v>
      </c>
      <c r="C966" s="3" t="s">
        <v>39</v>
      </c>
      <c r="D966" s="3" t="s">
        <v>53</v>
      </c>
      <c r="E966" s="3"/>
      <c r="F966" s="3" t="s">
        <v>1307</v>
      </c>
    </row>
    <row r="967" spans="2:6" ht="15.75" customHeight="1">
      <c r="B967" s="3">
        <v>16284</v>
      </c>
      <c r="C967" s="3" t="s">
        <v>19</v>
      </c>
      <c r="D967" s="3" t="s">
        <v>46</v>
      </c>
      <c r="E967" s="3"/>
      <c r="F967" s="3" t="s">
        <v>1308</v>
      </c>
    </row>
    <row r="968" spans="2:6" ht="15.75" customHeight="1">
      <c r="B968" s="3">
        <v>16285</v>
      </c>
      <c r="C968" s="3" t="s">
        <v>31</v>
      </c>
      <c r="D968" s="3" t="s">
        <v>28</v>
      </c>
      <c r="E968" s="3"/>
      <c r="F968" s="3" t="s">
        <v>1309</v>
      </c>
    </row>
    <row r="969" spans="2:6" ht="15.75" customHeight="1">
      <c r="B969" s="3">
        <v>16286</v>
      </c>
      <c r="C969" s="3" t="s">
        <v>24</v>
      </c>
      <c r="D969" s="3" t="s">
        <v>33</v>
      </c>
      <c r="E969" s="3"/>
      <c r="F969" s="3" t="s">
        <v>1310</v>
      </c>
    </row>
    <row r="970" spans="2:6" ht="15.75" customHeight="1">
      <c r="B970" s="3">
        <v>16287</v>
      </c>
      <c r="C970" s="3" t="s">
        <v>51</v>
      </c>
      <c r="D970" s="3" t="s">
        <v>49</v>
      </c>
      <c r="E970" s="3"/>
      <c r="F970" s="3" t="s">
        <v>1311</v>
      </c>
    </row>
    <row r="971" spans="2:6" ht="15.75" customHeight="1">
      <c r="B971" s="3">
        <v>16288</v>
      </c>
      <c r="C971" s="3" t="s">
        <v>39</v>
      </c>
      <c r="D971" s="3" t="s">
        <v>53</v>
      </c>
      <c r="E971" s="3"/>
      <c r="F971" s="3" t="s">
        <v>1312</v>
      </c>
    </row>
    <row r="972" spans="2:6" ht="15.75" customHeight="1">
      <c r="B972" s="3">
        <v>16289</v>
      </c>
      <c r="C972" s="3" t="s">
        <v>39</v>
      </c>
      <c r="D972" s="3" t="s">
        <v>49</v>
      </c>
      <c r="E972" s="3"/>
      <c r="F972" s="3" t="s">
        <v>1313</v>
      </c>
    </row>
    <row r="973" spans="2:6" ht="15.75" customHeight="1">
      <c r="B973" s="3">
        <v>16290</v>
      </c>
      <c r="C973" s="3" t="s">
        <v>51</v>
      </c>
      <c r="D973" s="3" t="s">
        <v>49</v>
      </c>
      <c r="E973" s="3"/>
      <c r="F973" s="3" t="s">
        <v>1314</v>
      </c>
    </row>
    <row r="974" spans="2:6" ht="15.75" customHeight="1">
      <c r="B974" s="3">
        <v>16291</v>
      </c>
      <c r="C974" s="3" t="s">
        <v>51</v>
      </c>
      <c r="D974" s="3" t="s">
        <v>83</v>
      </c>
      <c r="E974" s="3"/>
      <c r="F974" s="3" t="s">
        <v>1315</v>
      </c>
    </row>
    <row r="975" spans="2:6" ht="15.75" customHeight="1">
      <c r="B975" s="3">
        <v>16292</v>
      </c>
      <c r="C975" s="3" t="s">
        <v>44</v>
      </c>
      <c r="D975" s="3" t="s">
        <v>75</v>
      </c>
      <c r="E975" s="3"/>
      <c r="F975" s="3" t="s">
        <v>1316</v>
      </c>
    </row>
    <row r="976" spans="2:6" ht="15.75" customHeight="1">
      <c r="B976" s="3">
        <v>16293</v>
      </c>
      <c r="C976" s="3" t="s">
        <v>39</v>
      </c>
      <c r="D976" s="3" t="s">
        <v>28</v>
      </c>
      <c r="E976" s="3"/>
      <c r="F976" s="3" t="s">
        <v>1317</v>
      </c>
    </row>
    <row r="977" spans="2:6" ht="15.75" customHeight="1">
      <c r="B977" s="3">
        <v>16294</v>
      </c>
      <c r="C977" s="3" t="s">
        <v>55</v>
      </c>
      <c r="D977" s="3" t="s">
        <v>20</v>
      </c>
      <c r="E977" s="3"/>
      <c r="F977" s="3" t="s">
        <v>1318</v>
      </c>
    </row>
    <row r="978" spans="2:6" ht="15.75" customHeight="1">
      <c r="B978" s="3">
        <v>16295</v>
      </c>
      <c r="C978" s="3" t="s">
        <v>61</v>
      </c>
      <c r="D978" s="3" t="s">
        <v>49</v>
      </c>
      <c r="E978" s="3"/>
      <c r="F978" s="3" t="s">
        <v>1319</v>
      </c>
    </row>
    <row r="979" spans="2:6" ht="15.75" customHeight="1">
      <c r="B979" s="3">
        <v>16296</v>
      </c>
      <c r="C979" s="3" t="s">
        <v>61</v>
      </c>
      <c r="D979" s="3" t="s">
        <v>49</v>
      </c>
      <c r="E979" s="3"/>
      <c r="F979" s="3" t="s">
        <v>1320</v>
      </c>
    </row>
    <row r="980" spans="2:6" ht="15.75" customHeight="1">
      <c r="B980" s="3">
        <v>16297</v>
      </c>
      <c r="C980" s="3" t="s">
        <v>55</v>
      </c>
      <c r="D980" s="3" t="s">
        <v>57</v>
      </c>
      <c r="E980" s="3"/>
      <c r="F980" s="3" t="s">
        <v>1321</v>
      </c>
    </row>
    <row r="981" spans="2:6" ht="15.75" customHeight="1">
      <c r="B981" s="3">
        <v>16298</v>
      </c>
      <c r="C981" s="3" t="s">
        <v>39</v>
      </c>
      <c r="D981" s="3" t="s">
        <v>53</v>
      </c>
      <c r="E981" s="3"/>
      <c r="F981" s="3" t="s">
        <v>1322</v>
      </c>
    </row>
    <row r="982" spans="2:6" ht="15.75" customHeight="1">
      <c r="B982" s="3">
        <v>16299</v>
      </c>
      <c r="C982" s="3" t="s">
        <v>24</v>
      </c>
      <c r="D982" s="3" t="s">
        <v>49</v>
      </c>
      <c r="E982" s="3"/>
      <c r="F982" s="3" t="s">
        <v>1323</v>
      </c>
    </row>
    <row r="983" spans="2:6" ht="15.75" customHeight="1">
      <c r="B983" s="3">
        <v>16300</v>
      </c>
      <c r="C983" s="3" t="s">
        <v>61</v>
      </c>
      <c r="D983" s="3" t="s">
        <v>46</v>
      </c>
      <c r="E983" s="3"/>
      <c r="F983" s="3" t="s">
        <v>1324</v>
      </c>
    </row>
    <row r="984" spans="2:6" ht="15.75" customHeight="1">
      <c r="B984" s="3">
        <v>16301</v>
      </c>
      <c r="C984" s="3" t="s">
        <v>31</v>
      </c>
      <c r="D984" s="3" t="s">
        <v>57</v>
      </c>
      <c r="E984" s="3"/>
      <c r="F984" s="3" t="s">
        <v>1325</v>
      </c>
    </row>
    <row r="985" spans="2:6" ht="15.75" customHeight="1">
      <c r="B985" s="3">
        <v>16302</v>
      </c>
      <c r="C985" s="3" t="s">
        <v>24</v>
      </c>
      <c r="D985" s="3" t="s">
        <v>20</v>
      </c>
      <c r="E985" s="3"/>
      <c r="F985" s="3" t="s">
        <v>1326</v>
      </c>
    </row>
    <row r="986" spans="2:6" ht="15.75" customHeight="1">
      <c r="B986" s="3">
        <v>16303</v>
      </c>
      <c r="C986" s="3" t="s">
        <v>31</v>
      </c>
      <c r="D986" s="3" t="s">
        <v>89</v>
      </c>
      <c r="E986" s="3"/>
      <c r="F986" s="3" t="s">
        <v>1327</v>
      </c>
    </row>
    <row r="987" spans="2:6" ht="15.75" customHeight="1">
      <c r="B987" s="3">
        <v>16304</v>
      </c>
      <c r="C987" s="3" t="s">
        <v>51</v>
      </c>
      <c r="D987" s="3" t="s">
        <v>57</v>
      </c>
      <c r="E987" s="3"/>
      <c r="F987" s="3" t="s">
        <v>1328</v>
      </c>
    </row>
    <row r="988" spans="2:6" ht="15.75" customHeight="1">
      <c r="B988" s="3">
        <v>16305</v>
      </c>
      <c r="C988" s="3" t="s">
        <v>55</v>
      </c>
      <c r="D988" s="3" t="s">
        <v>49</v>
      </c>
      <c r="E988" s="3"/>
      <c r="F988" s="3" t="s">
        <v>1329</v>
      </c>
    </row>
    <row r="989" spans="2:6" ht="15.75" customHeight="1">
      <c r="B989" s="3">
        <v>16306</v>
      </c>
      <c r="C989" s="3" t="s">
        <v>67</v>
      </c>
      <c r="D989" s="3" t="s">
        <v>53</v>
      </c>
      <c r="E989" s="3"/>
      <c r="F989" s="3" t="s">
        <v>1330</v>
      </c>
    </row>
    <row r="990" spans="2:6" ht="15.75" customHeight="1">
      <c r="B990" s="3">
        <v>16307</v>
      </c>
      <c r="C990" s="3" t="s">
        <v>67</v>
      </c>
      <c r="D990" s="3" t="s">
        <v>75</v>
      </c>
      <c r="E990" s="3"/>
      <c r="F990" s="3" t="s">
        <v>1331</v>
      </c>
    </row>
    <row r="991" spans="2:6" ht="15.75" customHeight="1">
      <c r="B991" s="3">
        <v>16308</v>
      </c>
      <c r="C991" s="3" t="s">
        <v>67</v>
      </c>
      <c r="D991" s="3" t="s">
        <v>28</v>
      </c>
      <c r="E991" s="3"/>
      <c r="F991" s="3" t="s">
        <v>1332</v>
      </c>
    </row>
    <row r="992" spans="2:6" ht="15.75" customHeight="1">
      <c r="B992" s="3">
        <v>16309</v>
      </c>
      <c r="C992" s="3" t="s">
        <v>44</v>
      </c>
      <c r="D992" s="3" t="s">
        <v>89</v>
      </c>
      <c r="E992" s="3"/>
      <c r="F992" s="3" t="s">
        <v>1333</v>
      </c>
    </row>
    <row r="993" spans="2:6" ht="15.75" customHeight="1">
      <c r="B993" s="3">
        <v>16310</v>
      </c>
      <c r="C993" s="3" t="s">
        <v>31</v>
      </c>
      <c r="D993" s="3" t="s">
        <v>57</v>
      </c>
      <c r="E993" s="3"/>
      <c r="F993" s="3" t="s">
        <v>1334</v>
      </c>
    </row>
    <row r="994" spans="2:6" ht="15.75" customHeight="1">
      <c r="B994" s="3">
        <v>16311</v>
      </c>
      <c r="C994" s="3" t="s">
        <v>39</v>
      </c>
      <c r="D994" s="3" t="s">
        <v>53</v>
      </c>
      <c r="E994" s="3"/>
      <c r="F994" s="3" t="s">
        <v>1335</v>
      </c>
    </row>
    <row r="995" spans="2:6" ht="15.75" customHeight="1">
      <c r="B995" s="3">
        <v>16312</v>
      </c>
      <c r="C995" s="3" t="s">
        <v>19</v>
      </c>
      <c r="D995" s="3" t="s">
        <v>89</v>
      </c>
      <c r="E995" s="3"/>
      <c r="F995" s="3" t="s">
        <v>1336</v>
      </c>
    </row>
    <row r="996" spans="2:6" ht="15.75" customHeight="1">
      <c r="B996" s="3">
        <v>16313</v>
      </c>
      <c r="C996" s="3" t="s">
        <v>39</v>
      </c>
      <c r="D996" s="3" t="s">
        <v>75</v>
      </c>
      <c r="E996" s="3"/>
      <c r="F996" s="3" t="s">
        <v>1337</v>
      </c>
    </row>
    <row r="997" spans="2:6" ht="15.75" customHeight="1">
      <c r="B997" s="3">
        <v>16314</v>
      </c>
      <c r="C997" s="3" t="s">
        <v>31</v>
      </c>
      <c r="D997" s="3" t="s">
        <v>28</v>
      </c>
      <c r="E997" s="3"/>
      <c r="F997" s="3" t="s">
        <v>1338</v>
      </c>
    </row>
    <row r="998" spans="2:6" ht="15.75" customHeight="1">
      <c r="B998" s="3">
        <v>16315</v>
      </c>
      <c r="C998" s="3" t="s">
        <v>39</v>
      </c>
      <c r="D998" s="3" t="s">
        <v>28</v>
      </c>
      <c r="E998" s="3"/>
      <c r="F998" s="3" t="s">
        <v>1339</v>
      </c>
    </row>
    <row r="999" spans="2:6" ht="15.75" customHeight="1">
      <c r="B999" s="3">
        <v>16316</v>
      </c>
      <c r="C999" s="3" t="s">
        <v>19</v>
      </c>
      <c r="D999" s="3" t="s">
        <v>53</v>
      </c>
      <c r="E999" s="3"/>
      <c r="F999" s="3" t="s">
        <v>1340</v>
      </c>
    </row>
    <row r="1000" spans="2:6" ht="15.75" customHeight="1">
      <c r="B1000" s="3">
        <v>16317</v>
      </c>
      <c r="C1000" s="3" t="s">
        <v>26</v>
      </c>
      <c r="D1000" s="3" t="s">
        <v>75</v>
      </c>
      <c r="E1000" s="3"/>
      <c r="F1000" s="3" t="s">
        <v>1341</v>
      </c>
    </row>
    <row r="1001" spans="2:6" ht="15.75" customHeight="1">
      <c r="B1001" s="3">
        <v>16318</v>
      </c>
      <c r="C1001" s="3" t="s">
        <v>31</v>
      </c>
      <c r="D1001" s="3" t="s">
        <v>46</v>
      </c>
      <c r="E1001" s="3"/>
      <c r="F1001" s="3" t="s">
        <v>1342</v>
      </c>
    </row>
    <row r="1002" spans="2:6" ht="15.75" customHeight="1">
      <c r="B1002" s="3">
        <v>16319</v>
      </c>
      <c r="C1002" s="3" t="s">
        <v>26</v>
      </c>
      <c r="D1002" s="3" t="s">
        <v>49</v>
      </c>
      <c r="E1002" s="3"/>
      <c r="F1002" s="3" t="s">
        <v>1343</v>
      </c>
    </row>
    <row r="1003" spans="2:6" ht="15.75" customHeight="1">
      <c r="B1003" s="3">
        <v>16320</v>
      </c>
      <c r="C1003" s="3" t="s">
        <v>24</v>
      </c>
      <c r="D1003" s="3" t="s">
        <v>33</v>
      </c>
      <c r="E1003" s="3"/>
      <c r="F1003" s="3" t="s">
        <v>1344</v>
      </c>
    </row>
  </sheetData>
  <mergeCells count="1">
    <mergeCell ref="D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5" sqref="D5:D9"/>
    </sheetView>
  </sheetViews>
  <sheetFormatPr defaultColWidth="12.6640625" defaultRowHeight="15" customHeight="1"/>
  <cols>
    <col min="1" max="2" width="8.6640625" customWidth="1"/>
    <col min="3" max="3" width="11.88671875" customWidth="1"/>
    <col min="4" max="24" width="8.6640625" customWidth="1"/>
  </cols>
  <sheetData>
    <row r="1" spans="1:5" ht="14.4">
      <c r="A1" s="37" t="s">
        <v>0</v>
      </c>
      <c r="B1" s="38"/>
      <c r="C1" s="38"/>
      <c r="D1" s="38"/>
      <c r="E1" s="38"/>
    </row>
    <row r="2" spans="1:5" ht="14.4">
      <c r="A2" s="1" t="s">
        <v>18</v>
      </c>
      <c r="B2" s="1" t="s">
        <v>2</v>
      </c>
      <c r="C2" s="1" t="s">
        <v>4</v>
      </c>
      <c r="D2" s="1" t="s">
        <v>23</v>
      </c>
    </row>
    <row r="3" spans="1:5" ht="14.4">
      <c r="A3" s="3">
        <v>1001</v>
      </c>
      <c r="B3" s="3"/>
      <c r="C3" s="3" t="s">
        <v>6</v>
      </c>
      <c r="D3" s="3"/>
    </row>
    <row r="4" spans="1:5" ht="14.4">
      <c r="A4" s="3">
        <v>1002</v>
      </c>
      <c r="B4" s="3"/>
      <c r="C4" s="3" t="s">
        <v>8</v>
      </c>
      <c r="D4" s="3"/>
    </row>
    <row r="5" spans="1:5" ht="14.4">
      <c r="A5" s="3">
        <v>1002</v>
      </c>
      <c r="B5" s="3" t="s">
        <v>1345</v>
      </c>
      <c r="C5" s="1" t="s">
        <v>6</v>
      </c>
      <c r="D5" s="3">
        <v>101</v>
      </c>
    </row>
    <row r="6" spans="1:5" ht="14.4">
      <c r="A6" s="3">
        <v>1002</v>
      </c>
      <c r="B6" s="3" t="s">
        <v>1345</v>
      </c>
      <c r="C6" s="3"/>
      <c r="D6" s="3">
        <v>202</v>
      </c>
    </row>
    <row r="7" spans="1:5" ht="14.4">
      <c r="A7" s="3">
        <v>1002</v>
      </c>
      <c r="B7" s="3" t="s">
        <v>1346</v>
      </c>
      <c r="C7" s="3"/>
      <c r="D7" s="3">
        <v>34</v>
      </c>
    </row>
    <row r="8" spans="1:5" ht="14.4">
      <c r="A8" s="3">
        <v>1002</v>
      </c>
      <c r="B8" s="3" t="s">
        <v>1347</v>
      </c>
      <c r="C8" s="1" t="s">
        <v>4</v>
      </c>
      <c r="D8" s="3">
        <v>45</v>
      </c>
    </row>
    <row r="9" spans="1:5" ht="14.4">
      <c r="A9" s="3">
        <v>1002</v>
      </c>
      <c r="B9" s="3"/>
      <c r="C9" s="3"/>
      <c r="D9" s="3">
        <v>35</v>
      </c>
    </row>
    <row r="10" spans="1:5" ht="14.4">
      <c r="A10" s="3">
        <v>1002</v>
      </c>
      <c r="B10" s="3"/>
      <c r="C10" s="3"/>
      <c r="D10" s="3"/>
    </row>
    <row r="11" spans="1:5" ht="14.4">
      <c r="A11" s="3">
        <v>1002</v>
      </c>
      <c r="B11" s="3"/>
      <c r="C11" s="1" t="s">
        <v>4</v>
      </c>
      <c r="D11" s="3"/>
    </row>
    <row r="12" spans="1:5" ht="14.4">
      <c r="A12" s="3">
        <v>1002</v>
      </c>
      <c r="B12" s="3"/>
      <c r="C12" s="3"/>
      <c r="D12" s="3"/>
    </row>
    <row r="13" spans="1:5" ht="14.4">
      <c r="A13" s="3">
        <v>1002</v>
      </c>
      <c r="B13" s="3"/>
      <c r="C13" s="3"/>
      <c r="D13" s="3"/>
    </row>
    <row r="14" spans="1:5" ht="14.4">
      <c r="A14" s="3">
        <v>1002</v>
      </c>
      <c r="B14" s="3"/>
      <c r="C14" s="1" t="s">
        <v>4</v>
      </c>
      <c r="D14" s="3"/>
    </row>
    <row r="15" spans="1:5" ht="14.4">
      <c r="A15" s="3">
        <v>1002</v>
      </c>
      <c r="B15" s="3"/>
      <c r="C15" s="3"/>
      <c r="D15" s="3"/>
    </row>
    <row r="16" spans="1:5" ht="14.4">
      <c r="A16" s="3">
        <v>1002</v>
      </c>
      <c r="B16" s="3"/>
      <c r="C16" s="3"/>
      <c r="D16" s="3"/>
    </row>
    <row r="17" spans="1:4" ht="14.4">
      <c r="A17" s="3">
        <v>1002</v>
      </c>
      <c r="B17" s="3"/>
      <c r="C17" s="1" t="s">
        <v>4</v>
      </c>
      <c r="D17" s="3"/>
    </row>
    <row r="18" spans="1:4" ht="14.4">
      <c r="A18" s="3">
        <v>1002</v>
      </c>
      <c r="B18" s="3"/>
      <c r="C18" s="3"/>
      <c r="D18" s="3"/>
    </row>
    <row r="19" spans="1:4" ht="14.4">
      <c r="A19" s="3">
        <v>1002</v>
      </c>
      <c r="B19" s="3"/>
      <c r="C19" s="3"/>
      <c r="D19" s="3"/>
    </row>
    <row r="20" spans="1:4" ht="14.4">
      <c r="A20" s="3">
        <v>1002</v>
      </c>
      <c r="B20" s="3"/>
      <c r="C20" s="1" t="s">
        <v>4</v>
      </c>
      <c r="D20" s="3"/>
    </row>
    <row r="21" spans="1:4" ht="15.75" customHeight="1">
      <c r="A21" s="3">
        <v>1002</v>
      </c>
      <c r="B21" s="3"/>
      <c r="C21" s="3"/>
      <c r="D21" s="3"/>
    </row>
    <row r="22" spans="1:4" ht="15.75" customHeight="1">
      <c r="A22" s="3">
        <v>1002</v>
      </c>
      <c r="B22" s="3"/>
      <c r="C22" s="3"/>
      <c r="D22" s="3"/>
    </row>
    <row r="23" spans="1:4" ht="15.75" customHeight="1">
      <c r="A23" s="3">
        <v>1002</v>
      </c>
      <c r="B23" s="3"/>
      <c r="C23" s="1" t="s">
        <v>4</v>
      </c>
      <c r="D23" s="3"/>
    </row>
    <row r="24" spans="1:4" ht="15.75" customHeight="1">
      <c r="A24" s="3">
        <v>1002</v>
      </c>
      <c r="B24" s="3"/>
      <c r="C24" s="3"/>
      <c r="D24" s="3"/>
    </row>
    <row r="25" spans="1:4" ht="15.75" customHeight="1">
      <c r="A25" s="3">
        <v>1002</v>
      </c>
      <c r="B25" s="3"/>
      <c r="C25" s="3"/>
      <c r="D25" s="3"/>
    </row>
    <row r="26" spans="1:4" ht="15.75" customHeight="1">
      <c r="A26" s="3">
        <v>1002</v>
      </c>
      <c r="B26" s="3"/>
      <c r="C26" s="1" t="s">
        <v>4</v>
      </c>
      <c r="D26" s="3"/>
    </row>
    <row r="27" spans="1:4" ht="15.75" customHeight="1">
      <c r="A27" s="3">
        <v>1002</v>
      </c>
      <c r="B27" s="3"/>
      <c r="C27" s="3"/>
      <c r="D27" s="3"/>
    </row>
    <row r="28" spans="1:4" ht="15.75" customHeight="1">
      <c r="A28" s="3">
        <v>1002</v>
      </c>
      <c r="B28" s="3"/>
      <c r="C28" s="3"/>
      <c r="D28" s="3"/>
    </row>
    <row r="29" spans="1:4" ht="15.75" customHeight="1">
      <c r="A29" s="3">
        <v>1002</v>
      </c>
      <c r="B29" s="3"/>
      <c r="C29" s="1" t="s">
        <v>4</v>
      </c>
      <c r="D29" s="3"/>
    </row>
    <row r="30" spans="1:4" ht="15.75" customHeight="1">
      <c r="A30" s="3">
        <v>1002</v>
      </c>
      <c r="B30" s="3"/>
      <c r="C30" s="3"/>
      <c r="D30" s="3"/>
    </row>
    <row r="31" spans="1:4" ht="15.75" customHeight="1">
      <c r="A31" s="3">
        <v>1002</v>
      </c>
      <c r="B31" s="3"/>
      <c r="C31" s="3"/>
      <c r="D31" s="3"/>
    </row>
    <row r="32" spans="1:4" ht="15.75" customHeight="1">
      <c r="A32" s="3">
        <v>1002</v>
      </c>
      <c r="B32" s="3"/>
      <c r="C32" s="1" t="s">
        <v>4</v>
      </c>
      <c r="D32" s="3"/>
    </row>
    <row r="33" spans="1:4" ht="15.75" customHeight="1">
      <c r="A33" s="3">
        <v>1002</v>
      </c>
      <c r="B33" s="3"/>
      <c r="C33" s="3"/>
      <c r="D33" s="3"/>
    </row>
    <row r="34" spans="1:4" ht="15.75" customHeight="1">
      <c r="A34" s="3">
        <v>1002</v>
      </c>
      <c r="B34" s="3"/>
      <c r="C34" s="3"/>
      <c r="D34" s="3"/>
    </row>
    <row r="35" spans="1:4" ht="15.75" customHeight="1">
      <c r="A35" s="3">
        <v>1002</v>
      </c>
      <c r="B35" s="3"/>
      <c r="C35" s="1" t="s">
        <v>4</v>
      </c>
      <c r="D35" s="3"/>
    </row>
    <row r="36" spans="1:4" ht="15.75" customHeight="1">
      <c r="A36" s="3">
        <v>1002</v>
      </c>
      <c r="B36" s="3"/>
      <c r="C36" s="3"/>
      <c r="D36" s="3"/>
    </row>
    <row r="37" spans="1:4" ht="15.75" customHeight="1">
      <c r="A37" s="3">
        <v>1002</v>
      </c>
      <c r="B37" s="3"/>
      <c r="C37" s="3"/>
      <c r="D37" s="3"/>
    </row>
    <row r="38" spans="1:4" ht="15.75" customHeight="1">
      <c r="A38" s="3">
        <v>1002</v>
      </c>
      <c r="B38" s="3"/>
      <c r="C38" s="1" t="s">
        <v>4</v>
      </c>
      <c r="D38" s="3"/>
    </row>
    <row r="39" spans="1:4" ht="15.75" customHeight="1">
      <c r="A39" s="3">
        <v>1002</v>
      </c>
      <c r="B39" s="3"/>
      <c r="C39" s="3"/>
      <c r="D39" s="3"/>
    </row>
    <row r="40" spans="1:4" ht="15.75" customHeight="1">
      <c r="A40" s="3">
        <v>1002</v>
      </c>
      <c r="B40" s="3"/>
      <c r="C40" s="3"/>
      <c r="D40" s="3"/>
    </row>
    <row r="41" spans="1:4" ht="15.75" customHeight="1">
      <c r="A41" s="3">
        <v>1002</v>
      </c>
      <c r="B41" s="3"/>
      <c r="C41" s="1" t="s">
        <v>4</v>
      </c>
      <c r="D41" s="3"/>
    </row>
    <row r="42" spans="1:4" ht="15.75" customHeight="1">
      <c r="A42" s="3">
        <v>1002</v>
      </c>
      <c r="B42" s="3"/>
      <c r="C42" s="3"/>
      <c r="D42" s="3"/>
    </row>
    <row r="43" spans="1:4" ht="15.75" customHeight="1">
      <c r="A43" s="3">
        <v>1002</v>
      </c>
      <c r="B43" s="3"/>
      <c r="C43" s="3"/>
      <c r="D43" s="3"/>
    </row>
    <row r="44" spans="1:4" ht="15.75" customHeight="1">
      <c r="A44" s="3">
        <v>1002</v>
      </c>
      <c r="B44" s="3"/>
      <c r="C44" s="1" t="s">
        <v>4</v>
      </c>
      <c r="D44" s="3"/>
    </row>
    <row r="45" spans="1:4" ht="15.75" customHeight="1">
      <c r="A45" s="3">
        <v>1002</v>
      </c>
      <c r="B45" s="3"/>
      <c r="C45" s="3"/>
      <c r="D45" s="3"/>
    </row>
    <row r="46" spans="1:4" ht="15.75" customHeight="1">
      <c r="A46" s="3">
        <v>1002</v>
      </c>
      <c r="B46" s="3"/>
      <c r="C46" s="3"/>
      <c r="D46" s="3"/>
    </row>
    <row r="47" spans="1:4" ht="15.75" customHeight="1">
      <c r="A47" s="3">
        <v>1002</v>
      </c>
      <c r="B47" s="3"/>
      <c r="C47" s="1" t="s">
        <v>4</v>
      </c>
      <c r="D47" s="3"/>
    </row>
    <row r="48" spans="1:4" ht="15.75" customHeight="1">
      <c r="A48" s="3">
        <v>1002</v>
      </c>
      <c r="B48" s="3"/>
      <c r="C48" s="3"/>
      <c r="D48" s="3"/>
    </row>
    <row r="49" spans="1:4" ht="15.75" customHeight="1">
      <c r="A49" s="3">
        <v>1002</v>
      </c>
      <c r="B49" s="3"/>
      <c r="C49" s="3"/>
      <c r="D49" s="3"/>
    </row>
    <row r="50" spans="1:4" ht="15.75" customHeight="1">
      <c r="A50" s="3">
        <v>1002</v>
      </c>
      <c r="B50" s="3"/>
      <c r="C50" s="1" t="s">
        <v>4</v>
      </c>
      <c r="D50" s="3"/>
    </row>
    <row r="51" spans="1:4" ht="15.75" customHeight="1">
      <c r="A51" s="3">
        <v>1002</v>
      </c>
      <c r="B51" s="3"/>
      <c r="C51" s="3"/>
      <c r="D51" s="3"/>
    </row>
    <row r="52" spans="1:4" ht="15.75" customHeight="1">
      <c r="A52" s="3">
        <v>1002</v>
      </c>
      <c r="B52" s="3"/>
      <c r="C52" s="3"/>
      <c r="D52" s="3"/>
    </row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 count="3">
    <dataValidation type="textLength" operator="lessThanOrEqual" allowBlank="1" showInputMessage="1" showErrorMessage="1" sqref="A4:A52" xr:uid="{01300FBC-F32C-4449-B047-2113DDF62815}">
      <formula1>5</formula1>
    </dataValidation>
    <dataValidation type="list" allowBlank="1" showInputMessage="1" showErrorMessage="1" sqref="B5:B8" xr:uid="{144EA421-590C-4D20-98F8-41A2C4E768C8}">
      <formula1>"MALE,FEMALE,OTHER"</formula1>
    </dataValidation>
    <dataValidation type="textLength" allowBlank="1" showInputMessage="1" showErrorMessage="1" sqref="D5:D9" xr:uid="{9060B77E-1B22-4A29-B81A-533047EF0478}">
      <formula1>1</formula1>
      <formula2>2</formula2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0E7C5D-1335-4550-BFA7-3BC61FDD1F48}">
          <x14:formula1>
            <xm:f>'Validation Lists'!$C$3:$C$6</xm:f>
          </x14:formula1>
          <xm:sqref>C2:C52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000"/>
  <sheetViews>
    <sheetView workbookViewId="0"/>
  </sheetViews>
  <sheetFormatPr defaultColWidth="12.6640625" defaultRowHeight="15" customHeight="1"/>
  <cols>
    <col min="1" max="1" width="8.6640625" customWidth="1"/>
    <col min="2" max="2" width="13.6640625" customWidth="1"/>
    <col min="3" max="3" width="12.77734375" customWidth="1"/>
    <col min="4" max="25" width="8.6640625" customWidth="1"/>
  </cols>
  <sheetData>
    <row r="2" spans="2:3" ht="14.4">
      <c r="B2" s="1" t="s">
        <v>2</v>
      </c>
      <c r="C2" s="1" t="s">
        <v>4</v>
      </c>
    </row>
    <row r="3" spans="2:3" ht="14.4">
      <c r="B3" s="3" t="s">
        <v>5</v>
      </c>
      <c r="C3" s="3" t="s">
        <v>6</v>
      </c>
    </row>
    <row r="4" spans="2:3" ht="14.4">
      <c r="B4" s="3" t="s">
        <v>7</v>
      </c>
      <c r="C4" s="3" t="s">
        <v>8</v>
      </c>
    </row>
    <row r="5" spans="2:3" ht="14.4">
      <c r="B5" s="3" t="s">
        <v>9</v>
      </c>
      <c r="C5" s="3" t="s">
        <v>10</v>
      </c>
    </row>
    <row r="6" spans="2:3" ht="14.4">
      <c r="B6" s="3"/>
      <c r="C6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M1000"/>
  <sheetViews>
    <sheetView topLeftCell="F1" workbookViewId="0">
      <selection activeCell="M4" sqref="M4:M7"/>
    </sheetView>
  </sheetViews>
  <sheetFormatPr defaultColWidth="12.6640625" defaultRowHeight="15" customHeight="1"/>
  <cols>
    <col min="1" max="2" width="8.6640625" customWidth="1"/>
    <col min="3" max="3" width="13.6640625" customWidth="1"/>
    <col min="4" max="4" width="31.109375" customWidth="1"/>
    <col min="5" max="6" width="8.6640625" customWidth="1"/>
    <col min="7" max="7" width="13.21875" customWidth="1"/>
    <col min="8" max="9" width="25.109375" customWidth="1"/>
    <col min="10" max="11" width="16.33203125" customWidth="1"/>
    <col min="12" max="12" width="21.44140625" customWidth="1"/>
    <col min="13" max="13" width="19.88671875" customWidth="1"/>
    <col min="14" max="28" width="8.6640625" customWidth="1"/>
  </cols>
  <sheetData>
    <row r="3" spans="3:13" ht="14.4">
      <c r="C3" s="8" t="s">
        <v>124</v>
      </c>
      <c r="D3" s="8" t="s">
        <v>126</v>
      </c>
      <c r="H3" s="1" t="s">
        <v>128</v>
      </c>
      <c r="I3" s="1" t="s">
        <v>1348</v>
      </c>
      <c r="J3" s="1" t="s">
        <v>130</v>
      </c>
      <c r="K3" s="1"/>
      <c r="L3" s="1" t="s">
        <v>131</v>
      </c>
    </row>
    <row r="4" spans="3:13" ht="14.4">
      <c r="C4" s="8" t="s">
        <v>132</v>
      </c>
      <c r="D4" s="8" t="s">
        <v>134</v>
      </c>
      <c r="H4" s="3" t="s">
        <v>135</v>
      </c>
      <c r="I4" s="3" t="str">
        <f>TRIM(CLEAN(H4))</f>
        <v>Head Set</v>
      </c>
      <c r="J4" s="3" t="s">
        <v>137</v>
      </c>
      <c r="K4" s="19">
        <f>ROUND(J4,2)</f>
        <v>1158.68</v>
      </c>
      <c r="L4" s="3" t="s">
        <v>138</v>
      </c>
      <c r="M4" t="str">
        <f>SUBSTITUTE(L4,"-"," ")</f>
        <v xml:space="preserve"> Electronics Accessories</v>
      </c>
    </row>
    <row r="5" spans="3:13" ht="14.4">
      <c r="C5" s="8" t="s">
        <v>139</v>
      </c>
      <c r="D5" s="8" t="s">
        <v>140</v>
      </c>
      <c r="H5" s="3" t="s">
        <v>142</v>
      </c>
      <c r="I5" s="3" t="str">
        <f t="shared" ref="I5:I7" si="0">TRIM(H5)</f>
        <v>Smart Watch</v>
      </c>
      <c r="J5" s="3" t="s">
        <v>143</v>
      </c>
      <c r="K5" s="3">
        <f t="shared" ref="K5:K7" si="1">ROUND(J5,7)</f>
        <v>1285.3599999999999</v>
      </c>
      <c r="L5" s="3" t="s">
        <v>144</v>
      </c>
      <c r="M5" t="str">
        <f t="shared" ref="M5:M7" si="2">SUBSTITUTE(L5,"-"," ")</f>
        <v>Electronics Wearables</v>
      </c>
    </row>
    <row r="6" spans="3:13" ht="14.4">
      <c r="H6" s="3" t="s">
        <v>146</v>
      </c>
      <c r="I6" s="3" t="str">
        <f t="shared" si="0"/>
        <v>Bluetooth Speaker</v>
      </c>
      <c r="J6" s="3" t="s">
        <v>147</v>
      </c>
      <c r="K6" s="3">
        <f t="shared" si="1"/>
        <v>139.05000000000001</v>
      </c>
      <c r="L6" s="3" t="s">
        <v>148</v>
      </c>
      <c r="M6" t="str">
        <f t="shared" si="2"/>
        <v>Electronuics Audio</v>
      </c>
    </row>
    <row r="7" spans="3:13" ht="14.4">
      <c r="H7" s="3" t="s">
        <v>150</v>
      </c>
      <c r="I7" s="3" t="str">
        <f t="shared" si="0"/>
        <v>LED 207</v>
      </c>
      <c r="J7" s="3" t="s">
        <v>151</v>
      </c>
      <c r="K7" s="3">
        <f t="shared" si="1"/>
        <v>107.87</v>
      </c>
      <c r="L7" s="3" t="s">
        <v>152</v>
      </c>
      <c r="M7" t="str">
        <f t="shared" si="2"/>
        <v>Accessories Gaming</v>
      </c>
    </row>
    <row r="8" spans="3:13" ht="15" customHeight="1">
      <c r="J8">
        <f>SUM(J4:J7)</f>
        <v>0</v>
      </c>
    </row>
    <row r="9" spans="3:13" ht="15" customHeight="1">
      <c r="J9">
        <f>COUNTA(J4:J7)</f>
        <v>4</v>
      </c>
      <c r="K9" s="20">
        <f>SUM(K4:K7)</f>
        <v>2690.96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1000"/>
  <sheetViews>
    <sheetView topLeftCell="A9" workbookViewId="0">
      <selection activeCell="I4" sqref="I4:I18"/>
    </sheetView>
  </sheetViews>
  <sheetFormatPr defaultColWidth="12.6640625" defaultRowHeight="15" customHeight="1"/>
  <cols>
    <col min="1" max="26" width="8.6640625" customWidth="1"/>
  </cols>
  <sheetData>
    <row r="1" spans="3:10" ht="14.4">
      <c r="C1" s="37" t="s">
        <v>176</v>
      </c>
      <c r="D1" s="38"/>
      <c r="E1" s="38"/>
      <c r="F1" s="38"/>
    </row>
    <row r="3" spans="3:10" ht="43.2">
      <c r="C3" s="9" t="s">
        <v>180</v>
      </c>
      <c r="D3" s="9" t="s">
        <v>183</v>
      </c>
      <c r="E3" s="9" t="s">
        <v>131</v>
      </c>
      <c r="F3" s="9" t="s">
        <v>184</v>
      </c>
      <c r="G3" s="9" t="s">
        <v>185</v>
      </c>
      <c r="H3" s="9" t="s">
        <v>186</v>
      </c>
      <c r="I3" s="9" t="s">
        <v>188</v>
      </c>
      <c r="J3" s="9" t="s">
        <v>189</v>
      </c>
    </row>
    <row r="4" spans="3:10" ht="28.8">
      <c r="C4" s="10" t="s">
        <v>190</v>
      </c>
      <c r="D4" s="10" t="s">
        <v>192</v>
      </c>
      <c r="E4" s="10" t="s">
        <v>194</v>
      </c>
      <c r="F4" s="10">
        <v>120</v>
      </c>
      <c r="G4" s="11">
        <v>120000</v>
      </c>
      <c r="H4" s="11">
        <v>25000</v>
      </c>
      <c r="I4" s="10" t="s">
        <v>196</v>
      </c>
      <c r="J4" s="10">
        <v>4.5</v>
      </c>
    </row>
    <row r="5" spans="3:10" ht="28.8">
      <c r="C5" s="10" t="s">
        <v>198</v>
      </c>
      <c r="D5" s="10" t="s">
        <v>199</v>
      </c>
      <c r="E5" s="10" t="s">
        <v>200</v>
      </c>
      <c r="F5" s="10">
        <v>250</v>
      </c>
      <c r="G5" s="11">
        <v>25000</v>
      </c>
      <c r="H5" s="11">
        <v>5000</v>
      </c>
      <c r="I5" s="10" t="s">
        <v>196</v>
      </c>
      <c r="J5" s="10">
        <v>4</v>
      </c>
    </row>
    <row r="6" spans="3:10" ht="28.8">
      <c r="C6" s="10" t="s">
        <v>202</v>
      </c>
      <c r="D6" s="10" t="s">
        <v>203</v>
      </c>
      <c r="E6" s="10" t="s">
        <v>204</v>
      </c>
      <c r="F6" s="10">
        <v>90</v>
      </c>
      <c r="G6" s="11">
        <v>45000</v>
      </c>
      <c r="H6" s="11">
        <v>8000</v>
      </c>
      <c r="I6" s="10" t="s">
        <v>206</v>
      </c>
      <c r="J6" s="10">
        <v>4.2</v>
      </c>
    </row>
    <row r="7" spans="3:10" ht="28.8">
      <c r="C7" s="10" t="s">
        <v>207</v>
      </c>
      <c r="D7" s="10" t="s">
        <v>208</v>
      </c>
      <c r="E7" s="10" t="s">
        <v>209</v>
      </c>
      <c r="F7" s="10">
        <v>150</v>
      </c>
      <c r="G7" s="11">
        <v>75000</v>
      </c>
      <c r="H7" s="11">
        <v>15000</v>
      </c>
      <c r="I7" s="10" t="s">
        <v>196</v>
      </c>
      <c r="J7" s="10">
        <v>4.7</v>
      </c>
    </row>
    <row r="8" spans="3:10" ht="28.8">
      <c r="C8" s="10" t="s">
        <v>211</v>
      </c>
      <c r="D8" s="10" t="s">
        <v>212</v>
      </c>
      <c r="E8" s="10" t="s">
        <v>204</v>
      </c>
      <c r="F8" s="10">
        <v>60</v>
      </c>
      <c r="G8" s="11">
        <v>30000</v>
      </c>
      <c r="H8" s="11">
        <v>6000</v>
      </c>
      <c r="I8" s="10" t="s">
        <v>214</v>
      </c>
      <c r="J8" s="10">
        <v>3.8</v>
      </c>
    </row>
    <row r="9" spans="3:10" ht="43.2">
      <c r="C9" s="10" t="s">
        <v>215</v>
      </c>
      <c r="D9" s="10" t="s">
        <v>217</v>
      </c>
      <c r="E9" s="10" t="s">
        <v>200</v>
      </c>
      <c r="F9" s="10">
        <v>110</v>
      </c>
      <c r="G9" s="11">
        <v>55000</v>
      </c>
      <c r="H9" s="11">
        <v>10000</v>
      </c>
      <c r="I9" s="10" t="s">
        <v>196</v>
      </c>
      <c r="J9" s="10">
        <v>4.4000000000000004</v>
      </c>
    </row>
    <row r="10" spans="3:10" ht="43.2">
      <c r="C10" s="10" t="s">
        <v>219</v>
      </c>
      <c r="D10" s="10" t="s">
        <v>220</v>
      </c>
      <c r="E10" s="10" t="s">
        <v>194</v>
      </c>
      <c r="F10" s="10">
        <v>70</v>
      </c>
      <c r="G10" s="11">
        <v>70000</v>
      </c>
      <c r="H10" s="11">
        <v>12000</v>
      </c>
      <c r="I10" s="10" t="s">
        <v>196</v>
      </c>
      <c r="J10" s="10">
        <v>4.0999999999999996</v>
      </c>
    </row>
    <row r="11" spans="3:10" ht="28.8">
      <c r="C11" s="21" t="s">
        <v>207</v>
      </c>
      <c r="D11" s="10" t="s">
        <v>222</v>
      </c>
      <c r="E11" s="10" t="s">
        <v>209</v>
      </c>
      <c r="F11" s="10">
        <v>180</v>
      </c>
      <c r="G11" s="11">
        <v>90000</v>
      </c>
      <c r="H11" s="11">
        <v>18000</v>
      </c>
      <c r="I11" s="10" t="s">
        <v>196</v>
      </c>
      <c r="J11" s="10">
        <v>4.5999999999999996</v>
      </c>
    </row>
    <row r="12" spans="3:10" ht="28.8">
      <c r="C12" s="10" t="s">
        <v>224</v>
      </c>
      <c r="D12" s="10" t="s">
        <v>225</v>
      </c>
      <c r="E12" s="10" t="s">
        <v>204</v>
      </c>
      <c r="F12" s="10">
        <v>220</v>
      </c>
      <c r="G12" s="11">
        <v>110000</v>
      </c>
      <c r="H12" s="11">
        <v>22000</v>
      </c>
      <c r="I12" s="10" t="s">
        <v>206</v>
      </c>
      <c r="J12" s="10">
        <v>4.3</v>
      </c>
    </row>
    <row r="13" spans="3:10" ht="28.8">
      <c r="C13" s="10" t="s">
        <v>228</v>
      </c>
      <c r="D13" s="10" t="s">
        <v>229</v>
      </c>
      <c r="E13" s="10" t="s">
        <v>200</v>
      </c>
      <c r="F13" s="10">
        <v>300</v>
      </c>
      <c r="G13" s="11">
        <v>15000</v>
      </c>
      <c r="H13" s="11">
        <v>3000</v>
      </c>
      <c r="I13" s="10" t="s">
        <v>196</v>
      </c>
      <c r="J13" s="10">
        <v>3.9</v>
      </c>
    </row>
    <row r="14" spans="3:10" ht="28.8">
      <c r="C14" s="10" t="s">
        <v>231</v>
      </c>
      <c r="D14" s="10" t="s">
        <v>233</v>
      </c>
      <c r="E14" s="10" t="s">
        <v>194</v>
      </c>
      <c r="F14" s="10">
        <v>40</v>
      </c>
      <c r="G14" s="11">
        <v>200000</v>
      </c>
      <c r="H14" s="11">
        <v>50000</v>
      </c>
      <c r="I14" s="10" t="s">
        <v>214</v>
      </c>
      <c r="J14" s="10">
        <v>4.8</v>
      </c>
    </row>
    <row r="15" spans="3:10" ht="43.2">
      <c r="C15" s="10" t="s">
        <v>235</v>
      </c>
      <c r="D15" s="10" t="s">
        <v>236</v>
      </c>
      <c r="E15" s="10" t="s">
        <v>200</v>
      </c>
      <c r="F15" s="10">
        <v>85</v>
      </c>
      <c r="G15" s="11">
        <v>42500</v>
      </c>
      <c r="H15" s="11">
        <v>8500</v>
      </c>
      <c r="I15" s="10" t="s">
        <v>206</v>
      </c>
      <c r="J15" s="10">
        <v>4</v>
      </c>
    </row>
    <row r="16" spans="3:10" ht="28.8">
      <c r="C16" s="10" t="s">
        <v>238</v>
      </c>
      <c r="D16" s="10" t="s">
        <v>240</v>
      </c>
      <c r="E16" s="10" t="s">
        <v>194</v>
      </c>
      <c r="F16" s="10">
        <v>55</v>
      </c>
      <c r="G16" s="11">
        <v>165000</v>
      </c>
      <c r="H16" s="11">
        <v>30000</v>
      </c>
      <c r="I16" s="10" t="s">
        <v>196</v>
      </c>
      <c r="J16" s="10">
        <v>4.9000000000000004</v>
      </c>
    </row>
    <row r="17" spans="3:10" ht="72">
      <c r="C17" s="10" t="s">
        <v>242</v>
      </c>
      <c r="D17" s="10" t="s">
        <v>243</v>
      </c>
      <c r="E17" s="10" t="s">
        <v>204</v>
      </c>
      <c r="F17" s="10">
        <v>95</v>
      </c>
      <c r="G17" s="11">
        <v>95000</v>
      </c>
      <c r="H17" s="11">
        <v>19000</v>
      </c>
      <c r="I17" s="10" t="s">
        <v>196</v>
      </c>
      <c r="J17" s="10">
        <v>4.2</v>
      </c>
    </row>
    <row r="18" spans="3:10" ht="28.8">
      <c r="C18" s="10" t="s">
        <v>246</v>
      </c>
      <c r="D18" s="10" t="s">
        <v>247</v>
      </c>
      <c r="E18" s="10" t="s">
        <v>194</v>
      </c>
      <c r="F18" s="10">
        <v>130</v>
      </c>
      <c r="G18" s="11">
        <v>65000</v>
      </c>
      <c r="H18" s="11">
        <v>13000</v>
      </c>
      <c r="I18" s="10" t="s">
        <v>196</v>
      </c>
      <c r="J18" s="10">
        <v>4.4000000000000004</v>
      </c>
    </row>
    <row r="21" spans="3:10" ht="15.75" customHeight="1"/>
    <row r="22" spans="3:10" ht="15.75" customHeight="1"/>
    <row r="23" spans="3:10" ht="15.75" customHeight="1"/>
    <row r="24" spans="3:10" ht="15.75" customHeight="1"/>
    <row r="25" spans="3:10" ht="15.75" customHeight="1"/>
    <row r="26" spans="3:10" ht="15.75" customHeight="1"/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F1"/>
  </mergeCells>
  <phoneticPr fontId="9" type="noConversion"/>
  <conditionalFormatting sqref="C4:C18">
    <cfRule type="duplicateValues" dxfId="6" priority="4"/>
    <cfRule type="duplicateValues" dxfId="5" priority="7"/>
  </conditionalFormatting>
  <conditionalFormatting sqref="I4:I18">
    <cfRule type="containsText" dxfId="4" priority="1" operator="containsText" text="out of stock">
      <formula>NOT(ISERROR(SEARCH("out of stock",I4)))</formula>
    </cfRule>
    <cfRule type="containsText" dxfId="3" priority="2" operator="containsText" text="out of Stock">
      <formula>NOT(ISERROR(SEARCH("out of Stock",I4)))</formula>
    </cfRule>
    <cfRule type="containsText" dxfId="2" priority="3" operator="containsText" text="out of Stock">
      <formula>NOT(ISERROR(SEARCH("out of Stock",I4)))</formula>
    </cfRule>
    <cfRule type="containsText" dxfId="1" priority="5" operator="containsText" text="LOW Stock">
      <formula>NOT(ISERROR(SEARCH("LOW Stock",I4)))</formula>
    </cfRule>
    <cfRule type="containsText" dxfId="0" priority="6" operator="containsText" text="In Stock">
      <formula>NOT(ISERROR(SEARCH("In Stock",I4)))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R1000"/>
  <sheetViews>
    <sheetView tabSelected="1" topLeftCell="D1" workbookViewId="0">
      <selection activeCell="N4" sqref="N4"/>
    </sheetView>
  </sheetViews>
  <sheetFormatPr defaultColWidth="12.6640625" defaultRowHeight="15" customHeight="1"/>
  <cols>
    <col min="1" max="7" width="8.6640625" customWidth="1"/>
    <col min="8" max="8" width="10.77734375" customWidth="1"/>
    <col min="9" max="9" width="15.6640625" customWidth="1"/>
    <col min="10" max="10" width="23.77734375" customWidth="1"/>
    <col min="11" max="11" width="17.21875" customWidth="1"/>
    <col min="12" max="18" width="15.6640625" customWidth="1"/>
    <col min="19" max="30" width="8.6640625" customWidth="1"/>
  </cols>
  <sheetData>
    <row r="1" spans="3:18" ht="14.4">
      <c r="Q1" s="12"/>
    </row>
    <row r="2" spans="3:18" ht="14.4">
      <c r="C2" s="37" t="s">
        <v>281</v>
      </c>
      <c r="D2" s="38"/>
      <c r="E2" s="38"/>
      <c r="O2" s="20">
        <f>SUM(O4:O203)</f>
        <v>0</v>
      </c>
      <c r="P2" s="23">
        <f>SUM(P4:P203)</f>
        <v>154848.35999999999</v>
      </c>
      <c r="Q2" s="12"/>
    </row>
    <row r="3" spans="3:18" ht="14.4">
      <c r="H3" s="13" t="s">
        <v>285</v>
      </c>
      <c r="I3" s="13" t="s">
        <v>288</v>
      </c>
      <c r="J3" s="13" t="s">
        <v>289</v>
      </c>
      <c r="K3" s="13" t="s">
        <v>290</v>
      </c>
      <c r="L3" s="13" t="s">
        <v>130</v>
      </c>
      <c r="M3" s="13"/>
      <c r="N3" s="13"/>
      <c r="O3" s="13"/>
      <c r="P3" s="13"/>
      <c r="Q3" s="14" t="s">
        <v>130</v>
      </c>
      <c r="R3" s="13" t="s">
        <v>293</v>
      </c>
    </row>
    <row r="4" spans="3:18" ht="14.4">
      <c r="C4" s="8" t="s">
        <v>294</v>
      </c>
      <c r="H4" s="3">
        <v>1</v>
      </c>
      <c r="I4" s="3" t="s">
        <v>296</v>
      </c>
      <c r="J4" s="3" t="s">
        <v>217</v>
      </c>
      <c r="K4" s="22" t="s">
        <v>298</v>
      </c>
      <c r="L4" s="3" t="s">
        <v>299</v>
      </c>
      <c r="M4" s="24" t="s">
        <v>1548</v>
      </c>
      <c r="N4" s="24" t="e">
        <f>RIGHT(M4,LEN(M4)-FIND(" ",M4))</f>
        <v>#VALUE!</v>
      </c>
      <c r="O4" s="19" t="str">
        <f>LEFT(L4,LEN(L4)-2)</f>
        <v>1158.68</v>
      </c>
      <c r="P4" s="15">
        <f>ROUND(O4,2)</f>
        <v>1158.68</v>
      </c>
      <c r="Q4" s="15" t="str">
        <f t="shared" ref="Q4:Q9" si="0">LEFT(L4,LEN(L4)-1)</f>
        <v xml:space="preserve">1158.68 </v>
      </c>
      <c r="R4" s="3" t="s">
        <v>214</v>
      </c>
    </row>
    <row r="5" spans="3:18" ht="14.4">
      <c r="C5" s="8" t="s">
        <v>310</v>
      </c>
      <c r="H5" s="3">
        <v>2</v>
      </c>
      <c r="I5" s="3" t="s">
        <v>296</v>
      </c>
      <c r="J5" s="3" t="s">
        <v>217</v>
      </c>
      <c r="K5" s="22" t="s">
        <v>1349</v>
      </c>
      <c r="L5" s="3" t="s">
        <v>313</v>
      </c>
      <c r="M5" s="24" t="s">
        <v>1549</v>
      </c>
      <c r="N5" s="24"/>
      <c r="O5" s="19" t="str">
        <f t="shared" ref="O5:O68" si="1">LEFT(L5,LEN(L5)-2)</f>
        <v>1285.36</v>
      </c>
      <c r="P5" s="15">
        <f t="shared" ref="P5:P68" si="2">ROUND(O5,2)</f>
        <v>1285.3599999999999</v>
      </c>
      <c r="Q5" s="15" t="str">
        <f t="shared" si="0"/>
        <v xml:space="preserve">1285.36 </v>
      </c>
      <c r="R5" s="3" t="s">
        <v>196</v>
      </c>
    </row>
    <row r="6" spans="3:18" ht="14.4">
      <c r="H6" s="3">
        <v>3</v>
      </c>
      <c r="I6" s="3" t="s">
        <v>315</v>
      </c>
      <c r="J6" s="3" t="s">
        <v>217</v>
      </c>
      <c r="K6" s="22" t="s">
        <v>1350</v>
      </c>
      <c r="L6" s="3" t="s">
        <v>317</v>
      </c>
      <c r="M6" s="24" t="s">
        <v>1550</v>
      </c>
      <c r="N6" s="24"/>
      <c r="O6" s="19" t="str">
        <f t="shared" si="1"/>
        <v>139.05</v>
      </c>
      <c r="P6" s="15">
        <f t="shared" si="2"/>
        <v>139.05000000000001</v>
      </c>
      <c r="Q6" s="15" t="str">
        <f t="shared" si="0"/>
        <v xml:space="preserve">139.05 </v>
      </c>
      <c r="R6" s="3" t="s">
        <v>196</v>
      </c>
    </row>
    <row r="7" spans="3:18" ht="14.4">
      <c r="H7" s="3">
        <v>4</v>
      </c>
      <c r="I7" s="3" t="s">
        <v>319</v>
      </c>
      <c r="J7" s="3" t="s">
        <v>217</v>
      </c>
      <c r="K7" s="22" t="s">
        <v>1351</v>
      </c>
      <c r="L7" s="3" t="s">
        <v>321</v>
      </c>
      <c r="M7" s="24" t="s">
        <v>1551</v>
      </c>
      <c r="N7" s="24"/>
      <c r="O7" s="19" t="str">
        <f t="shared" si="1"/>
        <v>107.87</v>
      </c>
      <c r="P7" s="15">
        <f t="shared" si="2"/>
        <v>107.87</v>
      </c>
      <c r="Q7" s="15" t="str">
        <f t="shared" si="0"/>
        <v xml:space="preserve">107.87 </v>
      </c>
      <c r="R7" s="3" t="s">
        <v>214</v>
      </c>
    </row>
    <row r="8" spans="3:18" ht="14.4">
      <c r="H8" s="3">
        <v>5</v>
      </c>
      <c r="I8" s="3" t="s">
        <v>324</v>
      </c>
      <c r="J8" s="3" t="s">
        <v>217</v>
      </c>
      <c r="K8" s="22" t="s">
        <v>1352</v>
      </c>
      <c r="L8" s="3" t="s">
        <v>325</v>
      </c>
      <c r="M8" s="24" t="s">
        <v>1552</v>
      </c>
      <c r="N8" s="24"/>
      <c r="O8" s="19" t="str">
        <f t="shared" si="1"/>
        <v>178.23</v>
      </c>
      <c r="P8" s="15">
        <f t="shared" si="2"/>
        <v>178.23</v>
      </c>
      <c r="Q8" s="15" t="str">
        <f t="shared" si="0"/>
        <v xml:space="preserve">178.23 </v>
      </c>
      <c r="R8" s="3" t="s">
        <v>214</v>
      </c>
    </row>
    <row r="9" spans="3:18" ht="14.4">
      <c r="H9" s="3">
        <v>6</v>
      </c>
      <c r="I9" s="3" t="s">
        <v>327</v>
      </c>
      <c r="J9" s="3" t="s">
        <v>217</v>
      </c>
      <c r="K9" s="22" t="s">
        <v>1353</v>
      </c>
      <c r="L9" s="3" t="s">
        <v>330</v>
      </c>
      <c r="M9" s="24" t="s">
        <v>1553</v>
      </c>
      <c r="N9" s="24"/>
      <c r="O9" s="19" t="str">
        <f t="shared" si="1"/>
        <v>439.48</v>
      </c>
      <c r="P9" s="15">
        <f t="shared" si="2"/>
        <v>439.48</v>
      </c>
      <c r="Q9" s="15" t="str">
        <f t="shared" si="0"/>
        <v xml:space="preserve">439.48 </v>
      </c>
      <c r="R9" s="3" t="s">
        <v>214</v>
      </c>
    </row>
    <row r="10" spans="3:18" ht="14.4">
      <c r="H10" s="3">
        <v>7</v>
      </c>
      <c r="I10" s="3" t="s">
        <v>296</v>
      </c>
      <c r="J10" s="3" t="s">
        <v>217</v>
      </c>
      <c r="K10" s="22" t="s">
        <v>1354</v>
      </c>
      <c r="L10" s="3" t="s">
        <v>335</v>
      </c>
      <c r="M10" s="24" t="s">
        <v>1554</v>
      </c>
      <c r="N10" s="24"/>
      <c r="O10" s="19" t="str">
        <f t="shared" si="1"/>
        <v>715.56</v>
      </c>
      <c r="P10" s="15">
        <f t="shared" si="2"/>
        <v>715.56</v>
      </c>
      <c r="Q10" s="15"/>
      <c r="R10" s="3" t="s">
        <v>196</v>
      </c>
    </row>
    <row r="11" spans="3:18" ht="14.4">
      <c r="H11" s="3">
        <v>8</v>
      </c>
      <c r="I11" s="3" t="s">
        <v>315</v>
      </c>
      <c r="J11" s="3" t="s">
        <v>217</v>
      </c>
      <c r="K11" s="22" t="s">
        <v>1355</v>
      </c>
      <c r="L11" s="3" t="s">
        <v>340</v>
      </c>
      <c r="M11" s="24" t="s">
        <v>1555</v>
      </c>
      <c r="N11" s="24"/>
      <c r="O11" s="19" t="str">
        <f t="shared" si="1"/>
        <v>516.3</v>
      </c>
      <c r="P11" s="15">
        <f t="shared" si="2"/>
        <v>516.29999999999995</v>
      </c>
      <c r="Q11" s="15"/>
      <c r="R11" s="3" t="s">
        <v>214</v>
      </c>
    </row>
    <row r="12" spans="3:18" ht="14.4">
      <c r="H12" s="3">
        <v>9</v>
      </c>
      <c r="I12" s="3" t="s">
        <v>342</v>
      </c>
      <c r="J12" s="3" t="s">
        <v>217</v>
      </c>
      <c r="K12" s="22" t="s">
        <v>1356</v>
      </c>
      <c r="L12" s="3" t="s">
        <v>344</v>
      </c>
      <c r="M12" s="24" t="s">
        <v>1556</v>
      </c>
      <c r="N12" s="24"/>
      <c r="O12" s="19" t="str">
        <f t="shared" si="1"/>
        <v>974.34</v>
      </c>
      <c r="P12" s="15">
        <f t="shared" si="2"/>
        <v>974.34</v>
      </c>
      <c r="Q12" s="15"/>
      <c r="R12" s="3" t="s">
        <v>196</v>
      </c>
    </row>
    <row r="13" spans="3:18" ht="14.4">
      <c r="H13" s="3">
        <v>10</v>
      </c>
      <c r="I13" s="3" t="s">
        <v>319</v>
      </c>
      <c r="J13" s="3" t="s">
        <v>217</v>
      </c>
      <c r="K13" s="22" t="s">
        <v>1357</v>
      </c>
      <c r="L13" s="3" t="s">
        <v>346</v>
      </c>
      <c r="M13" s="24" t="s">
        <v>1557</v>
      </c>
      <c r="N13" s="24"/>
      <c r="O13" s="19" t="str">
        <f t="shared" si="1"/>
        <v>1364.75</v>
      </c>
      <c r="P13" s="15">
        <f t="shared" si="2"/>
        <v>1364.75</v>
      </c>
      <c r="Q13" s="15"/>
      <c r="R13" s="3" t="s">
        <v>196</v>
      </c>
    </row>
    <row r="14" spans="3:18" ht="14.4">
      <c r="H14" s="3">
        <v>11</v>
      </c>
      <c r="I14" s="3" t="s">
        <v>296</v>
      </c>
      <c r="J14" s="3" t="s">
        <v>217</v>
      </c>
      <c r="K14" s="22" t="s">
        <v>1358</v>
      </c>
      <c r="L14" s="3" t="s">
        <v>349</v>
      </c>
      <c r="M14" s="24" t="s">
        <v>1558</v>
      </c>
      <c r="N14" s="24"/>
      <c r="O14" s="19" t="str">
        <f t="shared" si="1"/>
        <v>503.17</v>
      </c>
      <c r="P14" s="15">
        <f t="shared" si="2"/>
        <v>503.17</v>
      </c>
      <c r="Q14" s="15"/>
      <c r="R14" s="3" t="s">
        <v>214</v>
      </c>
    </row>
    <row r="15" spans="3:18" ht="14.4">
      <c r="H15" s="3">
        <v>12</v>
      </c>
      <c r="I15" s="3" t="s">
        <v>327</v>
      </c>
      <c r="J15" s="3" t="s">
        <v>217</v>
      </c>
      <c r="K15" s="22" t="s">
        <v>1359</v>
      </c>
      <c r="L15" s="3" t="s">
        <v>352</v>
      </c>
      <c r="M15" s="24" t="s">
        <v>1559</v>
      </c>
      <c r="N15" s="24"/>
      <c r="O15" s="19" t="str">
        <f t="shared" si="1"/>
        <v>480.32</v>
      </c>
      <c r="P15" s="15">
        <f t="shared" si="2"/>
        <v>480.32</v>
      </c>
      <c r="Q15" s="15"/>
      <c r="R15" s="3" t="s">
        <v>214</v>
      </c>
    </row>
    <row r="16" spans="3:18" ht="14.4">
      <c r="H16" s="3">
        <v>13</v>
      </c>
      <c r="I16" s="3" t="s">
        <v>354</v>
      </c>
      <c r="J16" s="3" t="s">
        <v>217</v>
      </c>
      <c r="K16" s="22" t="s">
        <v>1360</v>
      </c>
      <c r="L16" s="3" t="s">
        <v>356</v>
      </c>
      <c r="M16" s="24" t="s">
        <v>1560</v>
      </c>
      <c r="N16" s="24"/>
      <c r="O16" s="19" t="str">
        <f t="shared" si="1"/>
        <v>672.35</v>
      </c>
      <c r="P16" s="15">
        <f t="shared" si="2"/>
        <v>672.35</v>
      </c>
      <c r="Q16" s="15"/>
      <c r="R16" s="3" t="s">
        <v>196</v>
      </c>
    </row>
    <row r="17" spans="8:18" ht="14.4">
      <c r="H17" s="3">
        <v>14</v>
      </c>
      <c r="I17" s="3" t="s">
        <v>354</v>
      </c>
      <c r="J17" s="3" t="s">
        <v>217</v>
      </c>
      <c r="K17" s="22" t="s">
        <v>1361</v>
      </c>
      <c r="L17" s="3" t="s">
        <v>358</v>
      </c>
      <c r="M17" s="24" t="s">
        <v>1561</v>
      </c>
      <c r="N17" s="24"/>
      <c r="O17" s="19" t="str">
        <f t="shared" si="1"/>
        <v>895.55</v>
      </c>
      <c r="P17" s="15">
        <f t="shared" si="2"/>
        <v>895.55</v>
      </c>
      <c r="Q17" s="15"/>
      <c r="R17" s="3" t="s">
        <v>214</v>
      </c>
    </row>
    <row r="18" spans="8:18" ht="14.4">
      <c r="H18" s="3">
        <v>15</v>
      </c>
      <c r="I18" s="3" t="s">
        <v>315</v>
      </c>
      <c r="J18" s="3" t="s">
        <v>217</v>
      </c>
      <c r="K18" s="22" t="s">
        <v>1362</v>
      </c>
      <c r="L18" s="3" t="s">
        <v>361</v>
      </c>
      <c r="M18" s="24" t="s">
        <v>1562</v>
      </c>
      <c r="N18" s="24"/>
      <c r="O18" s="19" t="str">
        <f t="shared" si="1"/>
        <v>923.25</v>
      </c>
      <c r="P18" s="15">
        <f t="shared" si="2"/>
        <v>923.25</v>
      </c>
      <c r="Q18" s="15"/>
      <c r="R18" s="3" t="s">
        <v>214</v>
      </c>
    </row>
    <row r="19" spans="8:18" ht="14.4">
      <c r="H19" s="3">
        <v>16</v>
      </c>
      <c r="I19" s="3" t="s">
        <v>363</v>
      </c>
      <c r="J19" s="3" t="s">
        <v>217</v>
      </c>
      <c r="K19" s="22" t="s">
        <v>1363</v>
      </c>
      <c r="L19" s="3" t="s">
        <v>365</v>
      </c>
      <c r="M19" s="24" t="s">
        <v>1563</v>
      </c>
      <c r="N19" s="24"/>
      <c r="O19" s="19" t="str">
        <f t="shared" si="1"/>
        <v>1493.67</v>
      </c>
      <c r="P19" s="15">
        <f t="shared" si="2"/>
        <v>1493.67</v>
      </c>
      <c r="Q19" s="15"/>
      <c r="R19" s="3" t="s">
        <v>196</v>
      </c>
    </row>
    <row r="20" spans="8:18" ht="14.4">
      <c r="H20" s="3">
        <v>17</v>
      </c>
      <c r="I20" s="3" t="s">
        <v>296</v>
      </c>
      <c r="J20" s="3" t="s">
        <v>217</v>
      </c>
      <c r="K20" s="22" t="s">
        <v>1364</v>
      </c>
      <c r="L20" s="3" t="s">
        <v>367</v>
      </c>
      <c r="M20" s="24" t="s">
        <v>1564</v>
      </c>
      <c r="N20" s="24"/>
      <c r="O20" s="19" t="str">
        <f t="shared" si="1"/>
        <v>534.05</v>
      </c>
      <c r="P20" s="15">
        <f t="shared" si="2"/>
        <v>534.04999999999995</v>
      </c>
      <c r="Q20" s="15"/>
      <c r="R20" s="3" t="s">
        <v>196</v>
      </c>
    </row>
    <row r="21" spans="8:18" ht="15.75" customHeight="1">
      <c r="H21" s="3">
        <v>18</v>
      </c>
      <c r="I21" s="3" t="s">
        <v>327</v>
      </c>
      <c r="J21" s="3" t="s">
        <v>217</v>
      </c>
      <c r="K21" s="22" t="s">
        <v>1365</v>
      </c>
      <c r="L21" s="3" t="s">
        <v>369</v>
      </c>
      <c r="M21" s="24" t="s">
        <v>1565</v>
      </c>
      <c r="N21" s="24"/>
      <c r="O21" s="19" t="str">
        <f t="shared" si="1"/>
        <v>1408.02</v>
      </c>
      <c r="P21" s="15">
        <f t="shared" si="2"/>
        <v>1408.02</v>
      </c>
      <c r="Q21" s="15"/>
      <c r="R21" s="3" t="s">
        <v>196</v>
      </c>
    </row>
    <row r="22" spans="8:18" ht="15.75" customHeight="1">
      <c r="H22" s="3">
        <v>19</v>
      </c>
      <c r="I22" s="3" t="s">
        <v>363</v>
      </c>
      <c r="J22" s="3" t="s">
        <v>217</v>
      </c>
      <c r="K22" s="22" t="s">
        <v>1366</v>
      </c>
      <c r="L22" s="3" t="s">
        <v>372</v>
      </c>
      <c r="M22" s="24" t="s">
        <v>1566</v>
      </c>
      <c r="N22" s="24"/>
      <c r="O22" s="19" t="str">
        <f t="shared" si="1"/>
        <v>535.03</v>
      </c>
      <c r="P22" s="15">
        <f t="shared" si="2"/>
        <v>535.03</v>
      </c>
      <c r="Q22" s="15"/>
      <c r="R22" s="3" t="s">
        <v>214</v>
      </c>
    </row>
    <row r="23" spans="8:18" ht="15.75" customHeight="1">
      <c r="H23" s="3">
        <v>20</v>
      </c>
      <c r="I23" s="3" t="s">
        <v>374</v>
      </c>
      <c r="J23" s="3" t="s">
        <v>217</v>
      </c>
      <c r="K23" s="22" t="s">
        <v>1367</v>
      </c>
      <c r="L23" s="3" t="s">
        <v>375</v>
      </c>
      <c r="M23" s="24" t="s">
        <v>1567</v>
      </c>
      <c r="N23" s="24"/>
      <c r="O23" s="19" t="str">
        <f t="shared" si="1"/>
        <v>898.74</v>
      </c>
      <c r="P23" s="15">
        <f t="shared" si="2"/>
        <v>898.74</v>
      </c>
      <c r="Q23" s="15"/>
      <c r="R23" s="3" t="s">
        <v>214</v>
      </c>
    </row>
    <row r="24" spans="8:18" ht="15.75" customHeight="1">
      <c r="H24" s="3">
        <v>21</v>
      </c>
      <c r="I24" s="3" t="s">
        <v>319</v>
      </c>
      <c r="J24" s="3" t="s">
        <v>217</v>
      </c>
      <c r="K24" s="22" t="s">
        <v>1368</v>
      </c>
      <c r="L24" s="3" t="s">
        <v>378</v>
      </c>
      <c r="M24" s="24" t="s">
        <v>1568</v>
      </c>
      <c r="N24" s="24"/>
      <c r="O24" s="19" t="str">
        <f t="shared" si="1"/>
        <v>1162.99</v>
      </c>
      <c r="P24" s="15">
        <f t="shared" si="2"/>
        <v>1162.99</v>
      </c>
      <c r="Q24" s="15"/>
      <c r="R24" s="3" t="s">
        <v>196</v>
      </c>
    </row>
    <row r="25" spans="8:18" ht="15.75" customHeight="1">
      <c r="H25" s="3">
        <v>22</v>
      </c>
      <c r="I25" s="3" t="s">
        <v>380</v>
      </c>
      <c r="J25" s="3" t="s">
        <v>217</v>
      </c>
      <c r="K25" s="22" t="s">
        <v>1369</v>
      </c>
      <c r="L25" s="3" t="s">
        <v>381</v>
      </c>
      <c r="M25" s="24" t="s">
        <v>1569</v>
      </c>
      <c r="N25" s="24"/>
      <c r="O25" s="19" t="str">
        <f t="shared" si="1"/>
        <v>152.55</v>
      </c>
      <c r="P25" s="15">
        <f t="shared" si="2"/>
        <v>152.55000000000001</v>
      </c>
      <c r="Q25" s="15"/>
      <c r="R25" s="3" t="s">
        <v>196</v>
      </c>
    </row>
    <row r="26" spans="8:18" ht="15.75" customHeight="1">
      <c r="H26" s="3">
        <v>23</v>
      </c>
      <c r="I26" s="3" t="s">
        <v>327</v>
      </c>
      <c r="J26" s="3" t="s">
        <v>217</v>
      </c>
      <c r="K26" s="22" t="s">
        <v>1370</v>
      </c>
      <c r="L26" s="3" t="s">
        <v>384</v>
      </c>
      <c r="M26" s="24" t="s">
        <v>1570</v>
      </c>
      <c r="N26" s="24"/>
      <c r="O26" s="19" t="str">
        <f t="shared" si="1"/>
        <v>1447.78</v>
      </c>
      <c r="P26" s="15">
        <f t="shared" si="2"/>
        <v>1447.78</v>
      </c>
      <c r="Q26" s="15"/>
      <c r="R26" s="3" t="s">
        <v>196</v>
      </c>
    </row>
    <row r="27" spans="8:18" ht="15.75" customHeight="1">
      <c r="H27" s="3">
        <v>24</v>
      </c>
      <c r="I27" s="3" t="s">
        <v>380</v>
      </c>
      <c r="J27" s="3" t="s">
        <v>217</v>
      </c>
      <c r="K27" s="22" t="s">
        <v>1371</v>
      </c>
      <c r="L27" s="3" t="s">
        <v>387</v>
      </c>
      <c r="M27" s="24" t="s">
        <v>1571</v>
      </c>
      <c r="N27" s="24"/>
      <c r="O27" s="19" t="str">
        <f t="shared" si="1"/>
        <v>187.85</v>
      </c>
      <c r="P27" s="15">
        <f t="shared" si="2"/>
        <v>187.85</v>
      </c>
      <c r="Q27" s="15"/>
      <c r="R27" s="3" t="s">
        <v>196</v>
      </c>
    </row>
    <row r="28" spans="8:18" ht="15.75" customHeight="1">
      <c r="H28" s="3">
        <v>25</v>
      </c>
      <c r="I28" s="3" t="s">
        <v>324</v>
      </c>
      <c r="J28" s="3" t="s">
        <v>217</v>
      </c>
      <c r="K28" s="22" t="s">
        <v>1372</v>
      </c>
      <c r="L28" s="3" t="s">
        <v>389</v>
      </c>
      <c r="M28" s="24" t="s">
        <v>1572</v>
      </c>
      <c r="N28" s="24"/>
      <c r="O28" s="19" t="str">
        <f t="shared" si="1"/>
        <v>318.32</v>
      </c>
      <c r="P28" s="15">
        <f t="shared" si="2"/>
        <v>318.32</v>
      </c>
      <c r="Q28" s="15"/>
      <c r="R28" s="3" t="s">
        <v>214</v>
      </c>
    </row>
    <row r="29" spans="8:18" ht="15.75" customHeight="1">
      <c r="H29" s="3">
        <v>26</v>
      </c>
      <c r="I29" s="3" t="s">
        <v>327</v>
      </c>
      <c r="J29" s="3" t="s">
        <v>217</v>
      </c>
      <c r="K29" s="22" t="s">
        <v>1373</v>
      </c>
      <c r="L29" s="3" t="s">
        <v>392</v>
      </c>
      <c r="M29" s="24" t="s">
        <v>1573</v>
      </c>
      <c r="N29" s="24"/>
      <c r="O29" s="19" t="str">
        <f t="shared" si="1"/>
        <v>871.71</v>
      </c>
      <c r="P29" s="15">
        <f t="shared" si="2"/>
        <v>871.71</v>
      </c>
      <c r="Q29" s="15"/>
      <c r="R29" s="3" t="s">
        <v>196</v>
      </c>
    </row>
    <row r="30" spans="8:18" ht="15.75" customHeight="1">
      <c r="H30" s="3">
        <v>27</v>
      </c>
      <c r="I30" s="3" t="s">
        <v>296</v>
      </c>
      <c r="J30" s="3" t="s">
        <v>217</v>
      </c>
      <c r="K30" s="22" t="s">
        <v>1374</v>
      </c>
      <c r="L30" s="3" t="s">
        <v>394</v>
      </c>
      <c r="M30" s="24" t="s">
        <v>1574</v>
      </c>
      <c r="N30" s="24"/>
      <c r="O30" s="19" t="str">
        <f t="shared" si="1"/>
        <v>611.89</v>
      </c>
      <c r="P30" s="15">
        <f t="shared" si="2"/>
        <v>611.89</v>
      </c>
      <c r="Q30" s="15"/>
      <c r="R30" s="3" t="s">
        <v>214</v>
      </c>
    </row>
    <row r="31" spans="8:18" ht="15.75" customHeight="1">
      <c r="H31" s="3">
        <v>28</v>
      </c>
      <c r="I31" s="3" t="s">
        <v>342</v>
      </c>
      <c r="J31" s="3" t="s">
        <v>217</v>
      </c>
      <c r="K31" s="22" t="s">
        <v>1375</v>
      </c>
      <c r="L31" s="3" t="s">
        <v>396</v>
      </c>
      <c r="M31" s="24" t="s">
        <v>1575</v>
      </c>
      <c r="N31" s="24"/>
      <c r="O31" s="19" t="str">
        <f t="shared" si="1"/>
        <v>74.25</v>
      </c>
      <c r="P31" s="15">
        <f t="shared" si="2"/>
        <v>74.25</v>
      </c>
      <c r="Q31" s="15"/>
      <c r="R31" s="3" t="s">
        <v>214</v>
      </c>
    </row>
    <row r="32" spans="8:18" ht="15.75" customHeight="1">
      <c r="H32" s="3">
        <v>29</v>
      </c>
      <c r="I32" s="3" t="s">
        <v>315</v>
      </c>
      <c r="J32" s="3" t="s">
        <v>217</v>
      </c>
      <c r="K32" s="22" t="s">
        <v>1376</v>
      </c>
      <c r="L32" s="3" t="s">
        <v>398</v>
      </c>
      <c r="M32" s="24" t="s">
        <v>1576</v>
      </c>
      <c r="N32" s="24"/>
      <c r="O32" s="19" t="str">
        <f t="shared" si="1"/>
        <v>582.27</v>
      </c>
      <c r="P32" s="15">
        <f t="shared" si="2"/>
        <v>582.27</v>
      </c>
      <c r="Q32" s="15"/>
      <c r="R32" s="3" t="s">
        <v>214</v>
      </c>
    </row>
    <row r="33" spans="8:18" ht="15.75" customHeight="1">
      <c r="H33" s="3">
        <v>30</v>
      </c>
      <c r="I33" s="3" t="s">
        <v>380</v>
      </c>
      <c r="J33" s="3" t="s">
        <v>217</v>
      </c>
      <c r="K33" s="22" t="s">
        <v>1377</v>
      </c>
      <c r="L33" s="3" t="s">
        <v>401</v>
      </c>
      <c r="M33" s="24" t="s">
        <v>1577</v>
      </c>
      <c r="N33" s="24"/>
      <c r="O33" s="19" t="str">
        <f t="shared" si="1"/>
        <v>1454.65</v>
      </c>
      <c r="P33" s="15">
        <f t="shared" si="2"/>
        <v>1454.65</v>
      </c>
      <c r="Q33" s="15"/>
      <c r="R33" s="3" t="s">
        <v>196</v>
      </c>
    </row>
    <row r="34" spans="8:18" ht="15.75" customHeight="1">
      <c r="H34" s="3">
        <v>31</v>
      </c>
      <c r="I34" s="3" t="s">
        <v>374</v>
      </c>
      <c r="J34" s="3" t="s">
        <v>217</v>
      </c>
      <c r="K34" s="22" t="s">
        <v>1378</v>
      </c>
      <c r="L34" s="3" t="s">
        <v>403</v>
      </c>
      <c r="M34" s="24" t="s">
        <v>1578</v>
      </c>
      <c r="N34" s="24"/>
      <c r="O34" s="19" t="str">
        <f t="shared" si="1"/>
        <v>386.1</v>
      </c>
      <c r="P34" s="15">
        <f t="shared" si="2"/>
        <v>386.1</v>
      </c>
      <c r="Q34" s="15"/>
      <c r="R34" s="3" t="s">
        <v>214</v>
      </c>
    </row>
    <row r="35" spans="8:18" ht="15.75" customHeight="1">
      <c r="H35" s="3">
        <v>32</v>
      </c>
      <c r="I35" s="3" t="s">
        <v>374</v>
      </c>
      <c r="J35" s="3" t="s">
        <v>217</v>
      </c>
      <c r="K35" s="22" t="s">
        <v>1379</v>
      </c>
      <c r="L35" s="3" t="s">
        <v>405</v>
      </c>
      <c r="M35" s="24" t="s">
        <v>1579</v>
      </c>
      <c r="N35" s="24"/>
      <c r="O35" s="19" t="str">
        <f t="shared" si="1"/>
        <v>875.76</v>
      </c>
      <c r="P35" s="15">
        <f t="shared" si="2"/>
        <v>875.76</v>
      </c>
      <c r="Q35" s="15"/>
      <c r="R35" s="3" t="s">
        <v>196</v>
      </c>
    </row>
    <row r="36" spans="8:18" ht="15.75" customHeight="1">
      <c r="H36" s="3">
        <v>33</v>
      </c>
      <c r="I36" s="3" t="s">
        <v>296</v>
      </c>
      <c r="J36" s="3" t="s">
        <v>217</v>
      </c>
      <c r="K36" s="22" t="s">
        <v>1380</v>
      </c>
      <c r="L36" s="3" t="s">
        <v>408</v>
      </c>
      <c r="M36" s="24" t="s">
        <v>1580</v>
      </c>
      <c r="N36" s="24"/>
      <c r="O36" s="19" t="str">
        <f t="shared" si="1"/>
        <v>342.64</v>
      </c>
      <c r="P36" s="15">
        <f t="shared" si="2"/>
        <v>342.64</v>
      </c>
      <c r="Q36" s="15"/>
      <c r="R36" s="3" t="s">
        <v>214</v>
      </c>
    </row>
    <row r="37" spans="8:18" ht="15.75" customHeight="1">
      <c r="H37" s="3">
        <v>34</v>
      </c>
      <c r="I37" s="3" t="s">
        <v>324</v>
      </c>
      <c r="J37" s="3" t="s">
        <v>217</v>
      </c>
      <c r="K37" s="22" t="s">
        <v>1381</v>
      </c>
      <c r="L37" s="3" t="s">
        <v>410</v>
      </c>
      <c r="M37" s="24" t="s">
        <v>1581</v>
      </c>
      <c r="N37" s="24"/>
      <c r="O37" s="19" t="str">
        <f t="shared" si="1"/>
        <v>1104.93</v>
      </c>
      <c r="P37" s="15">
        <f t="shared" si="2"/>
        <v>1104.93</v>
      </c>
      <c r="Q37" s="15"/>
      <c r="R37" s="3" t="s">
        <v>196</v>
      </c>
    </row>
    <row r="38" spans="8:18" ht="15.75" customHeight="1">
      <c r="H38" s="3">
        <v>35</v>
      </c>
      <c r="I38" s="3" t="s">
        <v>315</v>
      </c>
      <c r="J38" s="3" t="s">
        <v>217</v>
      </c>
      <c r="K38" s="22" t="s">
        <v>1382</v>
      </c>
      <c r="L38" s="3" t="s">
        <v>412</v>
      </c>
      <c r="M38" s="24" t="s">
        <v>1582</v>
      </c>
      <c r="N38" s="24"/>
      <c r="O38" s="19" t="str">
        <f t="shared" si="1"/>
        <v>401.94</v>
      </c>
      <c r="P38" s="15">
        <f t="shared" si="2"/>
        <v>401.94</v>
      </c>
      <c r="Q38" s="15"/>
      <c r="R38" s="3" t="s">
        <v>214</v>
      </c>
    </row>
    <row r="39" spans="8:18" ht="15.75" customHeight="1">
      <c r="H39" s="3">
        <v>36</v>
      </c>
      <c r="I39" s="3" t="s">
        <v>354</v>
      </c>
      <c r="J39" s="3" t="s">
        <v>217</v>
      </c>
      <c r="K39" s="22" t="s">
        <v>1383</v>
      </c>
      <c r="L39" s="3" t="s">
        <v>414</v>
      </c>
      <c r="M39" s="24" t="s">
        <v>1583</v>
      </c>
      <c r="N39" s="24"/>
      <c r="O39" s="19" t="str">
        <f t="shared" si="1"/>
        <v>857.94</v>
      </c>
      <c r="P39" s="15">
        <f t="shared" si="2"/>
        <v>857.94</v>
      </c>
      <c r="Q39" s="15"/>
      <c r="R39" s="3" t="s">
        <v>196</v>
      </c>
    </row>
    <row r="40" spans="8:18" ht="15.75" customHeight="1">
      <c r="H40" s="3">
        <v>37</v>
      </c>
      <c r="I40" s="3" t="s">
        <v>374</v>
      </c>
      <c r="J40" s="3" t="s">
        <v>217</v>
      </c>
      <c r="K40" s="22" t="s">
        <v>1384</v>
      </c>
      <c r="L40" s="3" t="s">
        <v>417</v>
      </c>
      <c r="M40" s="24" t="s">
        <v>1584</v>
      </c>
      <c r="N40" s="24"/>
      <c r="O40" s="19" t="str">
        <f t="shared" si="1"/>
        <v>1204.8</v>
      </c>
      <c r="P40" s="15">
        <f t="shared" si="2"/>
        <v>1204.8</v>
      </c>
      <c r="Q40" s="15"/>
      <c r="R40" s="3" t="s">
        <v>214</v>
      </c>
    </row>
    <row r="41" spans="8:18" ht="15.75" customHeight="1">
      <c r="H41" s="3">
        <v>38</v>
      </c>
      <c r="I41" s="3" t="s">
        <v>342</v>
      </c>
      <c r="J41" s="3" t="s">
        <v>217</v>
      </c>
      <c r="K41" s="22" t="s">
        <v>1385</v>
      </c>
      <c r="L41" s="3" t="s">
        <v>419</v>
      </c>
      <c r="M41" s="24" t="s">
        <v>1585</v>
      </c>
      <c r="N41" s="24"/>
      <c r="O41" s="19" t="str">
        <f t="shared" si="1"/>
        <v>947.0</v>
      </c>
      <c r="P41" s="15">
        <f t="shared" si="2"/>
        <v>947</v>
      </c>
      <c r="Q41" s="15"/>
      <c r="R41" s="3" t="s">
        <v>214</v>
      </c>
    </row>
    <row r="42" spans="8:18" ht="15.75" customHeight="1">
      <c r="H42" s="3">
        <v>39</v>
      </c>
      <c r="I42" s="3" t="s">
        <v>319</v>
      </c>
      <c r="J42" s="3" t="s">
        <v>217</v>
      </c>
      <c r="K42" s="22" t="s">
        <v>1386</v>
      </c>
      <c r="L42" s="3" t="s">
        <v>421</v>
      </c>
      <c r="M42" s="24" t="s">
        <v>1586</v>
      </c>
      <c r="N42" s="24"/>
      <c r="O42" s="19" t="str">
        <f t="shared" si="1"/>
        <v>317.63</v>
      </c>
      <c r="P42" s="15">
        <f t="shared" si="2"/>
        <v>317.63</v>
      </c>
      <c r="Q42" s="15"/>
      <c r="R42" s="3" t="s">
        <v>196</v>
      </c>
    </row>
    <row r="43" spans="8:18" ht="15.75" customHeight="1">
      <c r="H43" s="3">
        <v>40</v>
      </c>
      <c r="I43" s="3" t="s">
        <v>374</v>
      </c>
      <c r="J43" s="3" t="s">
        <v>217</v>
      </c>
      <c r="K43" s="22" t="s">
        <v>1387</v>
      </c>
      <c r="L43" s="3" t="s">
        <v>424</v>
      </c>
      <c r="M43" s="24" t="s">
        <v>1587</v>
      </c>
      <c r="N43" s="24"/>
      <c r="O43" s="19" t="str">
        <f t="shared" si="1"/>
        <v>1236.46</v>
      </c>
      <c r="P43" s="15">
        <f t="shared" si="2"/>
        <v>1236.46</v>
      </c>
      <c r="Q43" s="15"/>
      <c r="R43" s="3" t="s">
        <v>214</v>
      </c>
    </row>
    <row r="44" spans="8:18" ht="15.75" customHeight="1">
      <c r="H44" s="3">
        <v>41</v>
      </c>
      <c r="I44" s="3" t="s">
        <v>315</v>
      </c>
      <c r="J44" s="3" t="s">
        <v>217</v>
      </c>
      <c r="K44" s="22" t="s">
        <v>1388</v>
      </c>
      <c r="L44" s="3" t="s">
        <v>426</v>
      </c>
      <c r="M44" s="24" t="s">
        <v>1588</v>
      </c>
      <c r="N44" s="24"/>
      <c r="O44" s="19" t="str">
        <f t="shared" si="1"/>
        <v>1185.78</v>
      </c>
      <c r="P44" s="15">
        <f t="shared" si="2"/>
        <v>1185.78</v>
      </c>
      <c r="Q44" s="15"/>
      <c r="R44" s="3" t="s">
        <v>196</v>
      </c>
    </row>
    <row r="45" spans="8:18" ht="15.75" customHeight="1">
      <c r="H45" s="3">
        <v>42</v>
      </c>
      <c r="I45" s="3" t="s">
        <v>327</v>
      </c>
      <c r="J45" s="3" t="s">
        <v>217</v>
      </c>
      <c r="K45" s="22" t="s">
        <v>1389</v>
      </c>
      <c r="L45" s="3" t="s">
        <v>427</v>
      </c>
      <c r="M45" s="24" t="s">
        <v>1589</v>
      </c>
      <c r="N45" s="24"/>
      <c r="O45" s="19" t="str">
        <f t="shared" si="1"/>
        <v>1036.76</v>
      </c>
      <c r="P45" s="15">
        <f t="shared" si="2"/>
        <v>1036.76</v>
      </c>
      <c r="Q45" s="15"/>
      <c r="R45" s="3" t="s">
        <v>214</v>
      </c>
    </row>
    <row r="46" spans="8:18" ht="15.75" customHeight="1">
      <c r="H46" s="3">
        <v>43</v>
      </c>
      <c r="I46" s="3" t="s">
        <v>315</v>
      </c>
      <c r="J46" s="3" t="s">
        <v>217</v>
      </c>
      <c r="K46" s="22" t="s">
        <v>1390</v>
      </c>
      <c r="L46" s="3" t="s">
        <v>428</v>
      </c>
      <c r="M46" s="24" t="s">
        <v>1590</v>
      </c>
      <c r="N46" s="24"/>
      <c r="O46" s="19" t="str">
        <f t="shared" si="1"/>
        <v>1018.2</v>
      </c>
      <c r="P46" s="15">
        <f t="shared" si="2"/>
        <v>1018.2</v>
      </c>
      <c r="Q46" s="15"/>
      <c r="R46" s="3" t="s">
        <v>214</v>
      </c>
    </row>
    <row r="47" spans="8:18" ht="15.75" customHeight="1">
      <c r="H47" s="3">
        <v>44</v>
      </c>
      <c r="I47" s="3" t="s">
        <v>374</v>
      </c>
      <c r="J47" s="3" t="s">
        <v>217</v>
      </c>
      <c r="K47" s="22" t="s">
        <v>1391</v>
      </c>
      <c r="L47" s="3" t="s">
        <v>430</v>
      </c>
      <c r="M47" s="24" t="s">
        <v>1591</v>
      </c>
      <c r="N47" s="24"/>
      <c r="O47" s="19" t="str">
        <f t="shared" si="1"/>
        <v>150.97</v>
      </c>
      <c r="P47" s="15">
        <f t="shared" si="2"/>
        <v>150.97</v>
      </c>
      <c r="Q47" s="15"/>
      <c r="R47" s="3" t="s">
        <v>214</v>
      </c>
    </row>
    <row r="48" spans="8:18" ht="15.75" customHeight="1">
      <c r="H48" s="3">
        <v>45</v>
      </c>
      <c r="I48" s="3" t="s">
        <v>380</v>
      </c>
      <c r="J48" s="3" t="s">
        <v>217</v>
      </c>
      <c r="K48" s="22" t="s">
        <v>1392</v>
      </c>
      <c r="L48" s="3" t="s">
        <v>435</v>
      </c>
      <c r="M48" s="24" t="s">
        <v>1592</v>
      </c>
      <c r="N48" s="24"/>
      <c r="O48" s="19" t="str">
        <f t="shared" si="1"/>
        <v>650.8</v>
      </c>
      <c r="P48" s="15">
        <f t="shared" si="2"/>
        <v>650.79999999999995</v>
      </c>
      <c r="Q48" s="15"/>
      <c r="R48" s="3" t="s">
        <v>196</v>
      </c>
    </row>
    <row r="49" spans="8:18" ht="15.75" customHeight="1">
      <c r="H49" s="3">
        <v>46</v>
      </c>
      <c r="I49" s="3" t="s">
        <v>342</v>
      </c>
      <c r="J49" s="3" t="s">
        <v>217</v>
      </c>
      <c r="K49" s="22" t="s">
        <v>1393</v>
      </c>
      <c r="L49" s="3" t="s">
        <v>437</v>
      </c>
      <c r="M49" s="24" t="s">
        <v>1593</v>
      </c>
      <c r="N49" s="24"/>
      <c r="O49" s="19" t="str">
        <f t="shared" si="1"/>
        <v>1219.92</v>
      </c>
      <c r="P49" s="15">
        <f t="shared" si="2"/>
        <v>1219.92</v>
      </c>
      <c r="Q49" s="15"/>
      <c r="R49" s="3" t="s">
        <v>196</v>
      </c>
    </row>
    <row r="50" spans="8:18" ht="15.75" customHeight="1">
      <c r="H50" s="3">
        <v>47</v>
      </c>
      <c r="I50" s="3" t="s">
        <v>354</v>
      </c>
      <c r="J50" s="3" t="s">
        <v>217</v>
      </c>
      <c r="K50" s="22" t="s">
        <v>1394</v>
      </c>
      <c r="L50" s="3" t="s">
        <v>440</v>
      </c>
      <c r="M50" s="24" t="s">
        <v>1594</v>
      </c>
      <c r="N50" s="24"/>
      <c r="O50" s="19" t="str">
        <f t="shared" si="1"/>
        <v>1139.6</v>
      </c>
      <c r="P50" s="15">
        <f t="shared" si="2"/>
        <v>1139.5999999999999</v>
      </c>
      <c r="Q50" s="15"/>
      <c r="R50" s="3" t="s">
        <v>196</v>
      </c>
    </row>
    <row r="51" spans="8:18" ht="15.75" customHeight="1">
      <c r="H51" s="3">
        <v>48</v>
      </c>
      <c r="I51" s="3" t="s">
        <v>296</v>
      </c>
      <c r="J51" s="3" t="s">
        <v>217</v>
      </c>
      <c r="K51" s="22" t="s">
        <v>1395</v>
      </c>
      <c r="L51" s="3" t="s">
        <v>442</v>
      </c>
      <c r="M51" s="24" t="s">
        <v>1595</v>
      </c>
      <c r="N51" s="24"/>
      <c r="O51" s="19" t="str">
        <f t="shared" si="1"/>
        <v>1038.16</v>
      </c>
      <c r="P51" s="15">
        <f t="shared" si="2"/>
        <v>1038.1600000000001</v>
      </c>
      <c r="Q51" s="15"/>
      <c r="R51" s="3" t="s">
        <v>196</v>
      </c>
    </row>
    <row r="52" spans="8:18" ht="15.75" customHeight="1">
      <c r="H52" s="3">
        <v>49</v>
      </c>
      <c r="I52" s="3" t="s">
        <v>319</v>
      </c>
      <c r="J52" s="3" t="s">
        <v>217</v>
      </c>
      <c r="K52" s="22" t="s">
        <v>1396</v>
      </c>
      <c r="L52" s="3" t="s">
        <v>444</v>
      </c>
      <c r="M52" s="24" t="s">
        <v>1596</v>
      </c>
      <c r="N52" s="24"/>
      <c r="O52" s="19" t="str">
        <f t="shared" si="1"/>
        <v>1128.79</v>
      </c>
      <c r="P52" s="15">
        <f t="shared" si="2"/>
        <v>1128.79</v>
      </c>
      <c r="Q52" s="15"/>
      <c r="R52" s="3" t="s">
        <v>196</v>
      </c>
    </row>
    <row r="53" spans="8:18" ht="15.75" customHeight="1">
      <c r="H53" s="3">
        <v>50</v>
      </c>
      <c r="I53" s="3" t="s">
        <v>324</v>
      </c>
      <c r="J53" s="3" t="s">
        <v>217</v>
      </c>
      <c r="K53" s="22" t="s">
        <v>1397</v>
      </c>
      <c r="L53" s="3" t="s">
        <v>447</v>
      </c>
      <c r="M53" s="24" t="s">
        <v>1597</v>
      </c>
      <c r="N53" s="24"/>
      <c r="O53" s="19" t="str">
        <f t="shared" si="1"/>
        <v>1391.57</v>
      </c>
      <c r="P53" s="15">
        <f t="shared" si="2"/>
        <v>1391.57</v>
      </c>
      <c r="Q53" s="15"/>
      <c r="R53" s="3" t="s">
        <v>214</v>
      </c>
    </row>
    <row r="54" spans="8:18" ht="15.75" customHeight="1">
      <c r="H54" s="3">
        <v>51</v>
      </c>
      <c r="I54" s="3" t="s">
        <v>374</v>
      </c>
      <c r="J54" s="3" t="s">
        <v>217</v>
      </c>
      <c r="K54" s="22" t="s">
        <v>1398</v>
      </c>
      <c r="L54" s="3" t="s">
        <v>449</v>
      </c>
      <c r="M54" s="24" t="s">
        <v>1598</v>
      </c>
      <c r="N54" s="24"/>
      <c r="O54" s="19" t="str">
        <f t="shared" si="1"/>
        <v>538.59</v>
      </c>
      <c r="P54" s="15">
        <f t="shared" si="2"/>
        <v>538.59</v>
      </c>
      <c r="Q54" s="15"/>
      <c r="R54" s="3" t="s">
        <v>214</v>
      </c>
    </row>
    <row r="55" spans="8:18" ht="15.75" customHeight="1">
      <c r="H55" s="3">
        <v>52</v>
      </c>
      <c r="I55" s="3" t="s">
        <v>374</v>
      </c>
      <c r="J55" s="3" t="s">
        <v>217</v>
      </c>
      <c r="K55" s="22" t="s">
        <v>1399</v>
      </c>
      <c r="L55" s="3" t="s">
        <v>452</v>
      </c>
      <c r="M55" s="24" t="s">
        <v>1599</v>
      </c>
      <c r="N55" s="24"/>
      <c r="O55" s="19" t="str">
        <f t="shared" si="1"/>
        <v>1237.96</v>
      </c>
      <c r="P55" s="15">
        <f t="shared" si="2"/>
        <v>1237.96</v>
      </c>
      <c r="Q55" s="15"/>
      <c r="R55" s="3" t="s">
        <v>214</v>
      </c>
    </row>
    <row r="56" spans="8:18" ht="15.75" customHeight="1">
      <c r="H56" s="3">
        <v>53</v>
      </c>
      <c r="I56" s="3" t="s">
        <v>342</v>
      </c>
      <c r="J56" s="3" t="s">
        <v>217</v>
      </c>
      <c r="K56" s="22" t="s">
        <v>1400</v>
      </c>
      <c r="L56" s="3" t="s">
        <v>454</v>
      </c>
      <c r="M56" s="24" t="s">
        <v>1600</v>
      </c>
      <c r="N56" s="24"/>
      <c r="O56" s="19" t="str">
        <f t="shared" si="1"/>
        <v>1457.59</v>
      </c>
      <c r="P56" s="15">
        <f t="shared" si="2"/>
        <v>1457.59</v>
      </c>
      <c r="Q56" s="15"/>
      <c r="R56" s="3" t="s">
        <v>196</v>
      </c>
    </row>
    <row r="57" spans="8:18" ht="15.75" customHeight="1">
      <c r="H57" s="3">
        <v>54</v>
      </c>
      <c r="I57" s="3" t="s">
        <v>374</v>
      </c>
      <c r="J57" s="3" t="s">
        <v>217</v>
      </c>
      <c r="K57" s="22" t="s">
        <v>1401</v>
      </c>
      <c r="L57" s="3" t="s">
        <v>456</v>
      </c>
      <c r="M57" s="24" t="s">
        <v>1601</v>
      </c>
      <c r="N57" s="24"/>
      <c r="O57" s="19" t="str">
        <f t="shared" si="1"/>
        <v>419.75</v>
      </c>
      <c r="P57" s="15">
        <f t="shared" si="2"/>
        <v>419.75</v>
      </c>
      <c r="Q57" s="15"/>
      <c r="R57" s="3" t="s">
        <v>196</v>
      </c>
    </row>
    <row r="58" spans="8:18" ht="15.75" customHeight="1">
      <c r="H58" s="3">
        <v>55</v>
      </c>
      <c r="I58" s="3" t="s">
        <v>315</v>
      </c>
      <c r="J58" s="3" t="s">
        <v>217</v>
      </c>
      <c r="K58" s="22" t="s">
        <v>1402</v>
      </c>
      <c r="L58" s="3" t="s">
        <v>459</v>
      </c>
      <c r="M58" s="24" t="s">
        <v>1602</v>
      </c>
      <c r="N58" s="24"/>
      <c r="O58" s="19" t="str">
        <f t="shared" si="1"/>
        <v>977.15</v>
      </c>
      <c r="P58" s="15">
        <f t="shared" si="2"/>
        <v>977.15</v>
      </c>
      <c r="Q58" s="15"/>
      <c r="R58" s="3" t="s">
        <v>196</v>
      </c>
    </row>
    <row r="59" spans="8:18" ht="15.75" customHeight="1">
      <c r="H59" s="3">
        <v>56</v>
      </c>
      <c r="I59" s="3" t="s">
        <v>315</v>
      </c>
      <c r="J59" s="3" t="s">
        <v>217</v>
      </c>
      <c r="K59" s="22" t="s">
        <v>1403</v>
      </c>
      <c r="L59" s="3" t="s">
        <v>461</v>
      </c>
      <c r="M59" s="24" t="s">
        <v>1603</v>
      </c>
      <c r="N59" s="24"/>
      <c r="O59" s="19" t="str">
        <f t="shared" si="1"/>
        <v>458.23</v>
      </c>
      <c r="P59" s="15">
        <f t="shared" si="2"/>
        <v>458.23</v>
      </c>
      <c r="Q59" s="15"/>
      <c r="R59" s="3" t="s">
        <v>214</v>
      </c>
    </row>
    <row r="60" spans="8:18" ht="15.75" customHeight="1">
      <c r="H60" s="3">
        <v>57</v>
      </c>
      <c r="I60" s="3" t="s">
        <v>324</v>
      </c>
      <c r="J60" s="3" t="s">
        <v>217</v>
      </c>
      <c r="K60" s="22" t="s">
        <v>1404</v>
      </c>
      <c r="L60" s="3" t="s">
        <v>463</v>
      </c>
      <c r="M60" s="24" t="s">
        <v>1604</v>
      </c>
      <c r="N60" s="24"/>
      <c r="O60" s="19" t="str">
        <f t="shared" si="1"/>
        <v>917.41</v>
      </c>
      <c r="P60" s="15">
        <f t="shared" si="2"/>
        <v>917.41</v>
      </c>
      <c r="Q60" s="15"/>
      <c r="R60" s="3" t="s">
        <v>196</v>
      </c>
    </row>
    <row r="61" spans="8:18" ht="15.75" customHeight="1">
      <c r="H61" s="3">
        <v>58</v>
      </c>
      <c r="I61" s="3" t="s">
        <v>342</v>
      </c>
      <c r="J61" s="3" t="s">
        <v>217</v>
      </c>
      <c r="K61" s="22" t="s">
        <v>1405</v>
      </c>
      <c r="L61" s="3" t="s">
        <v>465</v>
      </c>
      <c r="M61" s="24" t="s">
        <v>1605</v>
      </c>
      <c r="N61" s="24"/>
      <c r="O61" s="19" t="str">
        <f t="shared" si="1"/>
        <v>233.93</v>
      </c>
      <c r="P61" s="15">
        <f t="shared" si="2"/>
        <v>233.93</v>
      </c>
      <c r="Q61" s="15"/>
      <c r="R61" s="3" t="s">
        <v>196</v>
      </c>
    </row>
    <row r="62" spans="8:18" ht="15.75" customHeight="1">
      <c r="H62" s="3">
        <v>59</v>
      </c>
      <c r="I62" s="3" t="s">
        <v>380</v>
      </c>
      <c r="J62" s="3" t="s">
        <v>217</v>
      </c>
      <c r="K62" s="22" t="s">
        <v>1406</v>
      </c>
      <c r="L62" s="3" t="s">
        <v>468</v>
      </c>
      <c r="M62" s="24" t="s">
        <v>1606</v>
      </c>
      <c r="N62" s="24"/>
      <c r="O62" s="19" t="str">
        <f t="shared" si="1"/>
        <v>472.8</v>
      </c>
      <c r="P62" s="15">
        <f t="shared" si="2"/>
        <v>472.8</v>
      </c>
      <c r="Q62" s="15"/>
      <c r="R62" s="3" t="s">
        <v>214</v>
      </c>
    </row>
    <row r="63" spans="8:18" ht="15.75" customHeight="1">
      <c r="H63" s="3">
        <v>60</v>
      </c>
      <c r="I63" s="3" t="s">
        <v>296</v>
      </c>
      <c r="J63" s="3" t="s">
        <v>217</v>
      </c>
      <c r="K63" s="22" t="s">
        <v>1407</v>
      </c>
      <c r="L63" s="3" t="s">
        <v>470</v>
      </c>
      <c r="M63" s="24" t="s">
        <v>1607</v>
      </c>
      <c r="N63" s="24"/>
      <c r="O63" s="19" t="str">
        <f t="shared" si="1"/>
        <v>438.22</v>
      </c>
      <c r="P63" s="15">
        <f t="shared" si="2"/>
        <v>438.22</v>
      </c>
      <c r="Q63" s="15"/>
      <c r="R63" s="3" t="s">
        <v>196</v>
      </c>
    </row>
    <row r="64" spans="8:18" ht="15.75" customHeight="1">
      <c r="H64" s="3">
        <v>61</v>
      </c>
      <c r="I64" s="3" t="s">
        <v>380</v>
      </c>
      <c r="J64" s="3" t="s">
        <v>217</v>
      </c>
      <c r="K64" s="22" t="s">
        <v>1408</v>
      </c>
      <c r="L64" s="3" t="s">
        <v>472</v>
      </c>
      <c r="M64" s="24" t="s">
        <v>1608</v>
      </c>
      <c r="N64" s="24"/>
      <c r="O64" s="19" t="str">
        <f t="shared" si="1"/>
        <v>860.7</v>
      </c>
      <c r="P64" s="15">
        <f t="shared" si="2"/>
        <v>860.7</v>
      </c>
      <c r="Q64" s="15"/>
      <c r="R64" s="3" t="s">
        <v>196</v>
      </c>
    </row>
    <row r="65" spans="8:18" ht="15.75" customHeight="1">
      <c r="H65" s="3">
        <v>62</v>
      </c>
      <c r="I65" s="3" t="s">
        <v>380</v>
      </c>
      <c r="J65" s="3" t="s">
        <v>217</v>
      </c>
      <c r="K65" s="22" t="s">
        <v>1409</v>
      </c>
      <c r="L65" s="3" t="s">
        <v>475</v>
      </c>
      <c r="M65" s="24" t="s">
        <v>1609</v>
      </c>
      <c r="N65" s="24"/>
      <c r="O65" s="19" t="str">
        <f t="shared" si="1"/>
        <v>699.46</v>
      </c>
      <c r="P65" s="15">
        <f t="shared" si="2"/>
        <v>699.46</v>
      </c>
      <c r="Q65" s="15"/>
      <c r="R65" s="3" t="s">
        <v>196</v>
      </c>
    </row>
    <row r="66" spans="8:18" ht="15.75" customHeight="1">
      <c r="H66" s="3">
        <v>63</v>
      </c>
      <c r="I66" s="3" t="s">
        <v>374</v>
      </c>
      <c r="J66" s="3" t="s">
        <v>217</v>
      </c>
      <c r="K66" s="22" t="s">
        <v>1410</v>
      </c>
      <c r="L66" s="3" t="s">
        <v>478</v>
      </c>
      <c r="M66" s="24" t="s">
        <v>1610</v>
      </c>
      <c r="N66" s="24"/>
      <c r="O66" s="19" t="str">
        <f t="shared" si="1"/>
        <v>304.31</v>
      </c>
      <c r="P66" s="15">
        <f t="shared" si="2"/>
        <v>304.31</v>
      </c>
      <c r="Q66" s="15"/>
      <c r="R66" s="3" t="s">
        <v>196</v>
      </c>
    </row>
    <row r="67" spans="8:18" ht="15.75" customHeight="1">
      <c r="H67" s="3">
        <v>64</v>
      </c>
      <c r="I67" s="3" t="s">
        <v>342</v>
      </c>
      <c r="J67" s="3" t="s">
        <v>217</v>
      </c>
      <c r="K67" s="22" t="s">
        <v>1411</v>
      </c>
      <c r="L67" s="3" t="s">
        <v>480</v>
      </c>
      <c r="M67" s="24" t="s">
        <v>1611</v>
      </c>
      <c r="N67" s="24"/>
      <c r="O67" s="19" t="str">
        <f t="shared" si="1"/>
        <v>658.07</v>
      </c>
      <c r="P67" s="15">
        <f t="shared" si="2"/>
        <v>658.07</v>
      </c>
      <c r="Q67" s="15"/>
      <c r="R67" s="3" t="s">
        <v>196</v>
      </c>
    </row>
    <row r="68" spans="8:18" ht="15.75" customHeight="1">
      <c r="H68" s="3">
        <v>65</v>
      </c>
      <c r="I68" s="3" t="s">
        <v>315</v>
      </c>
      <c r="J68" s="3" t="s">
        <v>217</v>
      </c>
      <c r="K68" s="22" t="s">
        <v>1412</v>
      </c>
      <c r="L68" s="3" t="s">
        <v>483</v>
      </c>
      <c r="M68" s="24" t="s">
        <v>1612</v>
      </c>
      <c r="N68" s="24"/>
      <c r="O68" s="19" t="str">
        <f t="shared" si="1"/>
        <v>877.8</v>
      </c>
      <c r="P68" s="15">
        <f t="shared" si="2"/>
        <v>877.8</v>
      </c>
      <c r="Q68" s="15"/>
      <c r="R68" s="3" t="s">
        <v>196</v>
      </c>
    </row>
    <row r="69" spans="8:18" ht="15.75" customHeight="1">
      <c r="H69" s="3">
        <v>66</v>
      </c>
      <c r="I69" s="3" t="s">
        <v>342</v>
      </c>
      <c r="J69" s="3" t="s">
        <v>217</v>
      </c>
      <c r="K69" s="22" t="s">
        <v>1413</v>
      </c>
      <c r="L69" s="3" t="s">
        <v>485</v>
      </c>
      <c r="M69" s="24" t="s">
        <v>1613</v>
      </c>
      <c r="N69" s="24"/>
      <c r="O69" s="19" t="str">
        <f t="shared" ref="O69:O132" si="3">LEFT(L69,LEN(L69)-2)</f>
        <v>967.6</v>
      </c>
      <c r="P69" s="15">
        <f t="shared" ref="P69:P132" si="4">ROUND(O69,2)</f>
        <v>967.6</v>
      </c>
      <c r="Q69" s="15"/>
      <c r="R69" s="3" t="s">
        <v>214</v>
      </c>
    </row>
    <row r="70" spans="8:18" ht="15.75" customHeight="1">
      <c r="H70" s="3">
        <v>67</v>
      </c>
      <c r="I70" s="3" t="s">
        <v>363</v>
      </c>
      <c r="J70" s="3" t="s">
        <v>217</v>
      </c>
      <c r="K70" s="22" t="s">
        <v>1414</v>
      </c>
      <c r="L70" s="3" t="s">
        <v>487</v>
      </c>
      <c r="M70" s="24" t="s">
        <v>1614</v>
      </c>
      <c r="N70" s="24"/>
      <c r="O70" s="19" t="str">
        <f t="shared" si="3"/>
        <v>332.31</v>
      </c>
      <c r="P70" s="15">
        <f t="shared" si="4"/>
        <v>332.31</v>
      </c>
      <c r="Q70" s="15"/>
      <c r="R70" s="3" t="s">
        <v>196</v>
      </c>
    </row>
    <row r="71" spans="8:18" ht="15.75" customHeight="1">
      <c r="H71" s="3">
        <v>68</v>
      </c>
      <c r="I71" s="3" t="s">
        <v>315</v>
      </c>
      <c r="J71" s="3" t="s">
        <v>217</v>
      </c>
      <c r="K71" s="22" t="s">
        <v>1415</v>
      </c>
      <c r="L71" s="3" t="s">
        <v>490</v>
      </c>
      <c r="M71" s="24" t="s">
        <v>1615</v>
      </c>
      <c r="N71" s="24"/>
      <c r="O71" s="19" t="str">
        <f t="shared" si="3"/>
        <v>1373.74</v>
      </c>
      <c r="P71" s="15">
        <f t="shared" si="4"/>
        <v>1373.74</v>
      </c>
      <c r="Q71" s="15"/>
      <c r="R71" s="3" t="s">
        <v>214</v>
      </c>
    </row>
    <row r="72" spans="8:18" ht="15.75" customHeight="1">
      <c r="H72" s="3">
        <v>69</v>
      </c>
      <c r="I72" s="3" t="s">
        <v>374</v>
      </c>
      <c r="J72" s="3" t="s">
        <v>217</v>
      </c>
      <c r="K72" s="22" t="s">
        <v>1416</v>
      </c>
      <c r="L72" s="3" t="s">
        <v>492</v>
      </c>
      <c r="M72" s="24" t="s">
        <v>1616</v>
      </c>
      <c r="N72" s="24"/>
      <c r="O72" s="19" t="str">
        <f t="shared" si="3"/>
        <v>1143.91</v>
      </c>
      <c r="P72" s="15">
        <f t="shared" si="4"/>
        <v>1143.9100000000001</v>
      </c>
      <c r="Q72" s="15"/>
      <c r="R72" s="3" t="s">
        <v>196</v>
      </c>
    </row>
    <row r="73" spans="8:18" ht="15.75" customHeight="1">
      <c r="H73" s="3">
        <v>70</v>
      </c>
      <c r="I73" s="3" t="s">
        <v>327</v>
      </c>
      <c r="J73" s="3" t="s">
        <v>217</v>
      </c>
      <c r="K73" s="22" t="s">
        <v>1417</v>
      </c>
      <c r="L73" s="3" t="s">
        <v>494</v>
      </c>
      <c r="M73" s="24" t="s">
        <v>1617</v>
      </c>
      <c r="N73" s="24"/>
      <c r="O73" s="19" t="str">
        <f t="shared" si="3"/>
        <v>638.15</v>
      </c>
      <c r="P73" s="15">
        <f t="shared" si="4"/>
        <v>638.15</v>
      </c>
      <c r="Q73" s="15"/>
      <c r="R73" s="3" t="s">
        <v>214</v>
      </c>
    </row>
    <row r="74" spans="8:18" ht="15.75" customHeight="1">
      <c r="H74" s="3">
        <v>71</v>
      </c>
      <c r="I74" s="3" t="s">
        <v>327</v>
      </c>
      <c r="J74" s="3" t="s">
        <v>217</v>
      </c>
      <c r="K74" s="22" t="s">
        <v>1418</v>
      </c>
      <c r="L74" s="3" t="s">
        <v>497</v>
      </c>
      <c r="M74" s="24" t="s">
        <v>1618</v>
      </c>
      <c r="N74" s="24"/>
      <c r="O74" s="19" t="str">
        <f t="shared" si="3"/>
        <v>833.95</v>
      </c>
      <c r="P74" s="15">
        <f t="shared" si="4"/>
        <v>833.95</v>
      </c>
      <c r="Q74" s="15"/>
      <c r="R74" s="3" t="s">
        <v>196</v>
      </c>
    </row>
    <row r="75" spans="8:18" ht="15.75" customHeight="1">
      <c r="H75" s="3">
        <v>72</v>
      </c>
      <c r="I75" s="3" t="s">
        <v>354</v>
      </c>
      <c r="J75" s="3" t="s">
        <v>217</v>
      </c>
      <c r="K75" s="22" t="s">
        <v>1419</v>
      </c>
      <c r="L75" s="3" t="s">
        <v>499</v>
      </c>
      <c r="M75" s="24" t="s">
        <v>1619</v>
      </c>
      <c r="N75" s="24"/>
      <c r="O75" s="19" t="str">
        <f t="shared" si="3"/>
        <v>1003.25</v>
      </c>
      <c r="P75" s="15">
        <f t="shared" si="4"/>
        <v>1003.25</v>
      </c>
      <c r="Q75" s="15"/>
      <c r="R75" s="3" t="s">
        <v>214</v>
      </c>
    </row>
    <row r="76" spans="8:18" ht="15.75" customHeight="1">
      <c r="H76" s="3">
        <v>73</v>
      </c>
      <c r="I76" s="3" t="s">
        <v>363</v>
      </c>
      <c r="J76" s="3" t="s">
        <v>217</v>
      </c>
      <c r="K76" s="22" t="s">
        <v>1420</v>
      </c>
      <c r="L76" s="3" t="s">
        <v>502</v>
      </c>
      <c r="M76" s="24" t="s">
        <v>1620</v>
      </c>
      <c r="N76" s="24"/>
      <c r="O76" s="19" t="str">
        <f t="shared" si="3"/>
        <v>851.5</v>
      </c>
      <c r="P76" s="15">
        <f t="shared" si="4"/>
        <v>851.5</v>
      </c>
      <c r="Q76" s="15"/>
      <c r="R76" s="3" t="s">
        <v>214</v>
      </c>
    </row>
    <row r="77" spans="8:18" ht="15.75" customHeight="1">
      <c r="H77" s="3">
        <v>74</v>
      </c>
      <c r="I77" s="3" t="s">
        <v>327</v>
      </c>
      <c r="J77" s="3" t="s">
        <v>217</v>
      </c>
      <c r="K77" s="22" t="s">
        <v>1421</v>
      </c>
      <c r="L77" s="3" t="s">
        <v>504</v>
      </c>
      <c r="M77" s="24" t="s">
        <v>1621</v>
      </c>
      <c r="N77" s="24"/>
      <c r="O77" s="19" t="str">
        <f t="shared" si="3"/>
        <v>349.38</v>
      </c>
      <c r="P77" s="15">
        <f t="shared" si="4"/>
        <v>349.38</v>
      </c>
      <c r="Q77" s="15"/>
      <c r="R77" s="3" t="s">
        <v>196</v>
      </c>
    </row>
    <row r="78" spans="8:18" ht="15.75" customHeight="1">
      <c r="H78" s="3">
        <v>75</v>
      </c>
      <c r="I78" s="3" t="s">
        <v>380</v>
      </c>
      <c r="J78" s="3" t="s">
        <v>217</v>
      </c>
      <c r="K78" s="22" t="s">
        <v>1422</v>
      </c>
      <c r="L78" s="3" t="s">
        <v>507</v>
      </c>
      <c r="M78" s="24" t="s">
        <v>1622</v>
      </c>
      <c r="N78" s="24"/>
      <c r="O78" s="19" t="str">
        <f t="shared" si="3"/>
        <v>985.09</v>
      </c>
      <c r="P78" s="15">
        <f t="shared" si="4"/>
        <v>985.09</v>
      </c>
      <c r="Q78" s="15"/>
      <c r="R78" s="3" t="s">
        <v>214</v>
      </c>
    </row>
    <row r="79" spans="8:18" ht="15.75" customHeight="1">
      <c r="H79" s="3">
        <v>76</v>
      </c>
      <c r="I79" s="3" t="s">
        <v>319</v>
      </c>
      <c r="J79" s="3" t="s">
        <v>217</v>
      </c>
      <c r="K79" s="22" t="s">
        <v>1423</v>
      </c>
      <c r="L79" s="3" t="s">
        <v>509</v>
      </c>
      <c r="M79" s="24" t="s">
        <v>1623</v>
      </c>
      <c r="N79" s="24"/>
      <c r="O79" s="19" t="str">
        <f t="shared" si="3"/>
        <v>1125.13</v>
      </c>
      <c r="P79" s="15">
        <f t="shared" si="4"/>
        <v>1125.1300000000001</v>
      </c>
      <c r="Q79" s="15"/>
      <c r="R79" s="3" t="s">
        <v>196</v>
      </c>
    </row>
    <row r="80" spans="8:18" ht="15.75" customHeight="1">
      <c r="H80" s="3">
        <v>77</v>
      </c>
      <c r="I80" s="3" t="s">
        <v>354</v>
      </c>
      <c r="J80" s="3" t="s">
        <v>217</v>
      </c>
      <c r="K80" s="22" t="s">
        <v>1424</v>
      </c>
      <c r="L80" s="3" t="s">
        <v>512</v>
      </c>
      <c r="M80" s="24" t="s">
        <v>1624</v>
      </c>
      <c r="N80" s="24"/>
      <c r="O80" s="19" t="str">
        <f t="shared" si="3"/>
        <v>903.58</v>
      </c>
      <c r="P80" s="15">
        <f t="shared" si="4"/>
        <v>903.58</v>
      </c>
      <c r="Q80" s="15"/>
      <c r="R80" s="3" t="s">
        <v>196</v>
      </c>
    </row>
    <row r="81" spans="8:18" ht="15.75" customHeight="1">
      <c r="H81" s="3">
        <v>78</v>
      </c>
      <c r="I81" s="3" t="s">
        <v>296</v>
      </c>
      <c r="J81" s="3" t="s">
        <v>217</v>
      </c>
      <c r="K81" s="22" t="s">
        <v>1425</v>
      </c>
      <c r="L81" s="3" t="s">
        <v>515</v>
      </c>
      <c r="M81" s="24" t="s">
        <v>1625</v>
      </c>
      <c r="N81" s="24"/>
      <c r="O81" s="19" t="str">
        <f t="shared" si="3"/>
        <v>1360.12</v>
      </c>
      <c r="P81" s="15">
        <f t="shared" si="4"/>
        <v>1360.12</v>
      </c>
      <c r="Q81" s="15"/>
      <c r="R81" s="3" t="s">
        <v>214</v>
      </c>
    </row>
    <row r="82" spans="8:18" ht="15.75" customHeight="1">
      <c r="H82" s="3">
        <v>79</v>
      </c>
      <c r="I82" s="3" t="s">
        <v>324</v>
      </c>
      <c r="J82" s="3" t="s">
        <v>217</v>
      </c>
      <c r="K82" s="22" t="s">
        <v>1426</v>
      </c>
      <c r="L82" s="3" t="s">
        <v>518</v>
      </c>
      <c r="M82" s="24" t="s">
        <v>1626</v>
      </c>
      <c r="N82" s="24"/>
      <c r="O82" s="19" t="str">
        <f t="shared" si="3"/>
        <v>919.75</v>
      </c>
      <c r="P82" s="15">
        <f t="shared" si="4"/>
        <v>919.75</v>
      </c>
      <c r="Q82" s="15"/>
      <c r="R82" s="3" t="s">
        <v>196</v>
      </c>
    </row>
    <row r="83" spans="8:18" ht="15.75" customHeight="1">
      <c r="H83" s="3">
        <v>80</v>
      </c>
      <c r="I83" s="3" t="s">
        <v>324</v>
      </c>
      <c r="J83" s="3" t="s">
        <v>217</v>
      </c>
      <c r="K83" s="22" t="s">
        <v>1427</v>
      </c>
      <c r="L83" s="3" t="s">
        <v>520</v>
      </c>
      <c r="M83" s="24" t="s">
        <v>1627</v>
      </c>
      <c r="N83" s="24"/>
      <c r="O83" s="19" t="str">
        <f t="shared" si="3"/>
        <v>379.46</v>
      </c>
      <c r="P83" s="15">
        <f t="shared" si="4"/>
        <v>379.46</v>
      </c>
      <c r="Q83" s="15"/>
      <c r="R83" s="3" t="s">
        <v>196</v>
      </c>
    </row>
    <row r="84" spans="8:18" ht="15.75" customHeight="1">
      <c r="H84" s="3">
        <v>81</v>
      </c>
      <c r="I84" s="3" t="s">
        <v>374</v>
      </c>
      <c r="J84" s="3" t="s">
        <v>217</v>
      </c>
      <c r="K84" s="22" t="s">
        <v>1428</v>
      </c>
      <c r="L84" s="3" t="s">
        <v>523</v>
      </c>
      <c r="M84" s="24" t="s">
        <v>1628</v>
      </c>
      <c r="N84" s="24"/>
      <c r="O84" s="19" t="str">
        <f t="shared" si="3"/>
        <v>1481.95</v>
      </c>
      <c r="P84" s="15">
        <f t="shared" si="4"/>
        <v>1481.95</v>
      </c>
      <c r="Q84" s="15"/>
      <c r="R84" s="3" t="s">
        <v>214</v>
      </c>
    </row>
    <row r="85" spans="8:18" ht="15.75" customHeight="1">
      <c r="H85" s="3">
        <v>82</v>
      </c>
      <c r="I85" s="3" t="s">
        <v>354</v>
      </c>
      <c r="J85" s="3" t="s">
        <v>217</v>
      </c>
      <c r="K85" s="22" t="s">
        <v>1429</v>
      </c>
      <c r="L85" s="3" t="s">
        <v>525</v>
      </c>
      <c r="M85" s="24" t="s">
        <v>1629</v>
      </c>
      <c r="N85" s="24"/>
      <c r="O85" s="19" t="str">
        <f t="shared" si="3"/>
        <v>640.48</v>
      </c>
      <c r="P85" s="15">
        <f t="shared" si="4"/>
        <v>640.48</v>
      </c>
      <c r="Q85" s="15"/>
      <c r="R85" s="3" t="s">
        <v>214</v>
      </c>
    </row>
    <row r="86" spans="8:18" ht="15.75" customHeight="1">
      <c r="H86" s="3">
        <v>83</v>
      </c>
      <c r="I86" s="3" t="s">
        <v>319</v>
      </c>
      <c r="J86" s="3" t="s">
        <v>217</v>
      </c>
      <c r="K86" s="22" t="s">
        <v>1430</v>
      </c>
      <c r="L86" s="3" t="s">
        <v>527</v>
      </c>
      <c r="M86" s="24" t="s">
        <v>1630</v>
      </c>
      <c r="N86" s="24"/>
      <c r="O86" s="19" t="str">
        <f t="shared" si="3"/>
        <v>551.0</v>
      </c>
      <c r="P86" s="15">
        <f t="shared" si="4"/>
        <v>551</v>
      </c>
      <c r="Q86" s="15"/>
      <c r="R86" s="3" t="s">
        <v>214</v>
      </c>
    </row>
    <row r="87" spans="8:18" ht="15.75" customHeight="1">
      <c r="H87" s="3">
        <v>84</v>
      </c>
      <c r="I87" s="3" t="s">
        <v>354</v>
      </c>
      <c r="J87" s="3" t="s">
        <v>217</v>
      </c>
      <c r="K87" s="22" t="s">
        <v>1431</v>
      </c>
      <c r="L87" s="3" t="s">
        <v>530</v>
      </c>
      <c r="M87" s="24" t="s">
        <v>1631</v>
      </c>
      <c r="N87" s="24"/>
      <c r="O87" s="19" t="str">
        <f t="shared" si="3"/>
        <v>968.36</v>
      </c>
      <c r="P87" s="15">
        <f t="shared" si="4"/>
        <v>968.36</v>
      </c>
      <c r="Q87" s="15"/>
      <c r="R87" s="3" t="s">
        <v>196</v>
      </c>
    </row>
    <row r="88" spans="8:18" ht="15.75" customHeight="1">
      <c r="H88" s="3">
        <v>85</v>
      </c>
      <c r="I88" s="3" t="s">
        <v>374</v>
      </c>
      <c r="J88" s="3" t="s">
        <v>217</v>
      </c>
      <c r="K88" s="22" t="s">
        <v>1432</v>
      </c>
      <c r="L88" s="3" t="s">
        <v>533</v>
      </c>
      <c r="M88" s="24" t="s">
        <v>1632</v>
      </c>
      <c r="N88" s="24"/>
      <c r="O88" s="19" t="str">
        <f t="shared" si="3"/>
        <v>235.89</v>
      </c>
      <c r="P88" s="15">
        <f t="shared" si="4"/>
        <v>235.89</v>
      </c>
      <c r="Q88" s="15"/>
      <c r="R88" s="3" t="s">
        <v>196</v>
      </c>
    </row>
    <row r="89" spans="8:18" ht="15.75" customHeight="1">
      <c r="H89" s="3">
        <v>86</v>
      </c>
      <c r="I89" s="3" t="s">
        <v>327</v>
      </c>
      <c r="J89" s="3" t="s">
        <v>217</v>
      </c>
      <c r="K89" s="22" t="s">
        <v>1433</v>
      </c>
      <c r="L89" s="3" t="s">
        <v>536</v>
      </c>
      <c r="M89" s="24" t="s">
        <v>1633</v>
      </c>
      <c r="N89" s="24"/>
      <c r="O89" s="19" t="str">
        <f t="shared" si="3"/>
        <v>1186.04</v>
      </c>
      <c r="P89" s="15">
        <f t="shared" si="4"/>
        <v>1186.04</v>
      </c>
      <c r="Q89" s="15"/>
      <c r="R89" s="3" t="s">
        <v>214</v>
      </c>
    </row>
    <row r="90" spans="8:18" ht="15.75" customHeight="1">
      <c r="H90" s="3">
        <v>87</v>
      </c>
      <c r="I90" s="3" t="s">
        <v>374</v>
      </c>
      <c r="J90" s="3" t="s">
        <v>217</v>
      </c>
      <c r="K90" s="22" t="s">
        <v>1434</v>
      </c>
      <c r="L90" s="3" t="s">
        <v>539</v>
      </c>
      <c r="M90" s="24" t="s">
        <v>1634</v>
      </c>
      <c r="N90" s="24"/>
      <c r="O90" s="19" t="str">
        <f t="shared" si="3"/>
        <v>67.76</v>
      </c>
      <c r="P90" s="15">
        <f t="shared" si="4"/>
        <v>67.760000000000005</v>
      </c>
      <c r="Q90" s="15"/>
      <c r="R90" s="3" t="s">
        <v>196</v>
      </c>
    </row>
    <row r="91" spans="8:18" ht="15.75" customHeight="1">
      <c r="H91" s="3">
        <v>88</v>
      </c>
      <c r="I91" s="3" t="s">
        <v>327</v>
      </c>
      <c r="J91" s="3" t="s">
        <v>217</v>
      </c>
      <c r="K91" s="22" t="s">
        <v>1435</v>
      </c>
      <c r="L91" s="3" t="s">
        <v>542</v>
      </c>
      <c r="M91" s="24" t="s">
        <v>1635</v>
      </c>
      <c r="N91" s="24"/>
      <c r="O91" s="19" t="str">
        <f t="shared" si="3"/>
        <v>199.63</v>
      </c>
      <c r="P91" s="15">
        <f t="shared" si="4"/>
        <v>199.63</v>
      </c>
      <c r="Q91" s="15"/>
      <c r="R91" s="3" t="s">
        <v>214</v>
      </c>
    </row>
    <row r="92" spans="8:18" ht="15.75" customHeight="1">
      <c r="H92" s="3">
        <v>89</v>
      </c>
      <c r="I92" s="3" t="s">
        <v>324</v>
      </c>
      <c r="J92" s="3" t="s">
        <v>217</v>
      </c>
      <c r="K92" s="22" t="s">
        <v>1436</v>
      </c>
      <c r="L92" s="3" t="s">
        <v>544</v>
      </c>
      <c r="M92" s="24" t="s">
        <v>1636</v>
      </c>
      <c r="N92" s="24"/>
      <c r="O92" s="19" t="str">
        <f t="shared" si="3"/>
        <v>885.45</v>
      </c>
      <c r="P92" s="15">
        <f t="shared" si="4"/>
        <v>885.45</v>
      </c>
      <c r="Q92" s="15"/>
      <c r="R92" s="3" t="s">
        <v>196</v>
      </c>
    </row>
    <row r="93" spans="8:18" ht="15.75" customHeight="1">
      <c r="H93" s="3">
        <v>90</v>
      </c>
      <c r="I93" s="3" t="s">
        <v>354</v>
      </c>
      <c r="J93" s="3" t="s">
        <v>217</v>
      </c>
      <c r="K93" s="22" t="s">
        <v>1437</v>
      </c>
      <c r="L93" s="3" t="s">
        <v>547</v>
      </c>
      <c r="M93" s="24" t="s">
        <v>1637</v>
      </c>
      <c r="N93" s="24"/>
      <c r="O93" s="19" t="str">
        <f t="shared" si="3"/>
        <v>135.94</v>
      </c>
      <c r="P93" s="15">
        <f t="shared" si="4"/>
        <v>135.94</v>
      </c>
      <c r="Q93" s="15"/>
      <c r="R93" s="3" t="s">
        <v>196</v>
      </c>
    </row>
    <row r="94" spans="8:18" ht="15.75" customHeight="1">
      <c r="H94" s="3">
        <v>91</v>
      </c>
      <c r="I94" s="3" t="s">
        <v>296</v>
      </c>
      <c r="J94" s="3" t="s">
        <v>217</v>
      </c>
      <c r="K94" s="22" t="s">
        <v>1438</v>
      </c>
      <c r="L94" s="3" t="s">
        <v>549</v>
      </c>
      <c r="M94" s="24" t="s">
        <v>1638</v>
      </c>
      <c r="N94" s="24"/>
      <c r="O94" s="19" t="str">
        <f t="shared" si="3"/>
        <v>695.54</v>
      </c>
      <c r="P94" s="15">
        <f t="shared" si="4"/>
        <v>695.54</v>
      </c>
      <c r="Q94" s="15"/>
      <c r="R94" s="3" t="s">
        <v>214</v>
      </c>
    </row>
    <row r="95" spans="8:18" ht="15.75" customHeight="1">
      <c r="H95" s="3">
        <v>92</v>
      </c>
      <c r="I95" s="3" t="s">
        <v>354</v>
      </c>
      <c r="J95" s="3" t="s">
        <v>217</v>
      </c>
      <c r="K95" s="22" t="s">
        <v>1439</v>
      </c>
      <c r="L95" s="3" t="s">
        <v>552</v>
      </c>
      <c r="M95" s="24" t="s">
        <v>1639</v>
      </c>
      <c r="N95" s="24"/>
      <c r="O95" s="19" t="str">
        <f t="shared" si="3"/>
        <v>141.38</v>
      </c>
      <c r="P95" s="15">
        <f t="shared" si="4"/>
        <v>141.38</v>
      </c>
      <c r="Q95" s="15"/>
      <c r="R95" s="3" t="s">
        <v>214</v>
      </c>
    </row>
    <row r="96" spans="8:18" ht="15.75" customHeight="1">
      <c r="H96" s="3">
        <v>93</v>
      </c>
      <c r="I96" s="3" t="s">
        <v>315</v>
      </c>
      <c r="J96" s="3" t="s">
        <v>217</v>
      </c>
      <c r="K96" s="22" t="s">
        <v>1440</v>
      </c>
      <c r="L96" s="3" t="s">
        <v>555</v>
      </c>
      <c r="M96" s="24" t="s">
        <v>1640</v>
      </c>
      <c r="N96" s="24"/>
      <c r="O96" s="19" t="str">
        <f t="shared" si="3"/>
        <v>64.8</v>
      </c>
      <c r="P96" s="15">
        <f t="shared" si="4"/>
        <v>64.8</v>
      </c>
      <c r="Q96" s="15"/>
      <c r="R96" s="3" t="s">
        <v>196</v>
      </c>
    </row>
    <row r="97" spans="8:18" ht="15.75" customHeight="1">
      <c r="H97" s="3">
        <v>94</v>
      </c>
      <c r="I97" s="3" t="s">
        <v>354</v>
      </c>
      <c r="J97" s="3" t="s">
        <v>217</v>
      </c>
      <c r="K97" s="22" t="s">
        <v>1441</v>
      </c>
      <c r="L97" s="3" t="s">
        <v>558</v>
      </c>
      <c r="M97" s="24" t="s">
        <v>1641</v>
      </c>
      <c r="N97" s="24"/>
      <c r="O97" s="19" t="str">
        <f t="shared" si="3"/>
        <v>529.16</v>
      </c>
      <c r="P97" s="15">
        <f t="shared" si="4"/>
        <v>529.16</v>
      </c>
      <c r="Q97" s="15"/>
      <c r="R97" s="3" t="s">
        <v>214</v>
      </c>
    </row>
    <row r="98" spans="8:18" ht="15.75" customHeight="1">
      <c r="H98" s="3">
        <v>95</v>
      </c>
      <c r="I98" s="3" t="s">
        <v>319</v>
      </c>
      <c r="J98" s="3" t="s">
        <v>217</v>
      </c>
      <c r="K98" s="22" t="s">
        <v>1442</v>
      </c>
      <c r="L98" s="3" t="s">
        <v>561</v>
      </c>
      <c r="M98" s="24" t="s">
        <v>1642</v>
      </c>
      <c r="N98" s="24"/>
      <c r="O98" s="19" t="str">
        <f t="shared" si="3"/>
        <v>222.56</v>
      </c>
      <c r="P98" s="15">
        <f t="shared" si="4"/>
        <v>222.56</v>
      </c>
      <c r="Q98" s="15"/>
      <c r="R98" s="3" t="s">
        <v>214</v>
      </c>
    </row>
    <row r="99" spans="8:18" ht="15.75" customHeight="1">
      <c r="H99" s="3">
        <v>96</v>
      </c>
      <c r="I99" s="3" t="s">
        <v>327</v>
      </c>
      <c r="J99" s="3" t="s">
        <v>217</v>
      </c>
      <c r="K99" s="22" t="s">
        <v>1443</v>
      </c>
      <c r="L99" s="3" t="s">
        <v>564</v>
      </c>
      <c r="M99" s="24" t="s">
        <v>1643</v>
      </c>
      <c r="N99" s="24"/>
      <c r="O99" s="19" t="str">
        <f t="shared" si="3"/>
        <v>382.56</v>
      </c>
      <c r="P99" s="15">
        <f t="shared" si="4"/>
        <v>382.56</v>
      </c>
      <c r="Q99" s="15"/>
      <c r="R99" s="3" t="s">
        <v>196</v>
      </c>
    </row>
    <row r="100" spans="8:18" ht="15.75" customHeight="1">
      <c r="H100" s="3">
        <v>97</v>
      </c>
      <c r="I100" s="3" t="s">
        <v>324</v>
      </c>
      <c r="J100" s="3" t="s">
        <v>217</v>
      </c>
      <c r="K100" s="22" t="s">
        <v>1444</v>
      </c>
      <c r="L100" s="3" t="s">
        <v>568</v>
      </c>
      <c r="M100" s="24" t="s">
        <v>1644</v>
      </c>
      <c r="N100" s="24"/>
      <c r="O100" s="19" t="str">
        <f t="shared" si="3"/>
        <v>520.93</v>
      </c>
      <c r="P100" s="15">
        <f t="shared" si="4"/>
        <v>520.92999999999995</v>
      </c>
      <c r="Q100" s="15"/>
      <c r="R100" s="3" t="s">
        <v>214</v>
      </c>
    </row>
    <row r="101" spans="8:18" ht="15.75" customHeight="1">
      <c r="H101" s="3">
        <v>98</v>
      </c>
      <c r="I101" s="3" t="s">
        <v>374</v>
      </c>
      <c r="J101" s="3" t="s">
        <v>217</v>
      </c>
      <c r="K101" s="22" t="s">
        <v>1445</v>
      </c>
      <c r="L101" s="3" t="s">
        <v>571</v>
      </c>
      <c r="M101" s="24" t="s">
        <v>1645</v>
      </c>
      <c r="N101" s="24"/>
      <c r="O101" s="19" t="str">
        <f t="shared" si="3"/>
        <v>1467.92</v>
      </c>
      <c r="P101" s="15">
        <f t="shared" si="4"/>
        <v>1467.92</v>
      </c>
      <c r="Q101" s="15"/>
      <c r="R101" s="3" t="s">
        <v>196</v>
      </c>
    </row>
    <row r="102" spans="8:18" ht="15.75" customHeight="1">
      <c r="H102" s="3">
        <v>99</v>
      </c>
      <c r="I102" s="3" t="s">
        <v>315</v>
      </c>
      <c r="J102" s="3" t="s">
        <v>217</v>
      </c>
      <c r="K102" s="22" t="s">
        <v>1446</v>
      </c>
      <c r="L102" s="3" t="s">
        <v>574</v>
      </c>
      <c r="M102" s="24" t="s">
        <v>1646</v>
      </c>
      <c r="N102" s="24"/>
      <c r="O102" s="19" t="str">
        <f t="shared" si="3"/>
        <v>1160.56</v>
      </c>
      <c r="P102" s="15">
        <f t="shared" si="4"/>
        <v>1160.56</v>
      </c>
      <c r="Q102" s="15"/>
      <c r="R102" s="3" t="s">
        <v>214</v>
      </c>
    </row>
    <row r="103" spans="8:18" ht="15.75" customHeight="1">
      <c r="H103" s="3">
        <v>100</v>
      </c>
      <c r="I103" s="3" t="s">
        <v>324</v>
      </c>
      <c r="J103" s="3" t="s">
        <v>217</v>
      </c>
      <c r="K103" s="22" t="s">
        <v>1447</v>
      </c>
      <c r="L103" s="3" t="s">
        <v>577</v>
      </c>
      <c r="M103" s="24" t="s">
        <v>1647</v>
      </c>
      <c r="N103" s="24"/>
      <c r="O103" s="19" t="str">
        <f t="shared" si="3"/>
        <v>750.26</v>
      </c>
      <c r="P103" s="15">
        <f t="shared" si="4"/>
        <v>750.26</v>
      </c>
      <c r="Q103" s="15"/>
      <c r="R103" s="3" t="s">
        <v>214</v>
      </c>
    </row>
    <row r="104" spans="8:18" ht="15.75" customHeight="1">
      <c r="H104" s="3">
        <v>101</v>
      </c>
      <c r="I104" s="3" t="s">
        <v>374</v>
      </c>
      <c r="J104" s="3" t="s">
        <v>217</v>
      </c>
      <c r="K104" s="22" t="s">
        <v>1448</v>
      </c>
      <c r="L104" s="3" t="s">
        <v>580</v>
      </c>
      <c r="M104" s="24" t="s">
        <v>1648</v>
      </c>
      <c r="N104" s="24"/>
      <c r="O104" s="19" t="str">
        <f t="shared" si="3"/>
        <v>332.12</v>
      </c>
      <c r="P104" s="15">
        <f t="shared" si="4"/>
        <v>332.12</v>
      </c>
      <c r="Q104" s="15"/>
      <c r="R104" s="3" t="s">
        <v>196</v>
      </c>
    </row>
    <row r="105" spans="8:18" ht="15.75" customHeight="1">
      <c r="H105" s="3">
        <v>102</v>
      </c>
      <c r="I105" s="3" t="s">
        <v>319</v>
      </c>
      <c r="J105" s="3" t="s">
        <v>217</v>
      </c>
      <c r="K105" s="22" t="s">
        <v>1449</v>
      </c>
      <c r="L105" s="3" t="s">
        <v>583</v>
      </c>
      <c r="M105" s="24" t="s">
        <v>1649</v>
      </c>
      <c r="N105" s="24"/>
      <c r="O105" s="19" t="str">
        <f t="shared" si="3"/>
        <v>172.54</v>
      </c>
      <c r="P105" s="15">
        <f t="shared" si="4"/>
        <v>172.54</v>
      </c>
      <c r="Q105" s="15"/>
      <c r="R105" s="3" t="s">
        <v>196</v>
      </c>
    </row>
    <row r="106" spans="8:18" ht="15.75" customHeight="1">
      <c r="H106" s="3">
        <v>103</v>
      </c>
      <c r="I106" s="3" t="s">
        <v>342</v>
      </c>
      <c r="J106" s="3" t="s">
        <v>217</v>
      </c>
      <c r="K106" s="22" t="s">
        <v>1450</v>
      </c>
      <c r="L106" s="3" t="s">
        <v>586</v>
      </c>
      <c r="M106" s="24" t="s">
        <v>1650</v>
      </c>
      <c r="N106" s="24"/>
      <c r="O106" s="19" t="str">
        <f t="shared" si="3"/>
        <v>1070.79</v>
      </c>
      <c r="P106" s="15">
        <f t="shared" si="4"/>
        <v>1070.79</v>
      </c>
      <c r="Q106" s="15"/>
      <c r="R106" s="3" t="s">
        <v>214</v>
      </c>
    </row>
    <row r="107" spans="8:18" ht="15.75" customHeight="1">
      <c r="H107" s="3">
        <v>104</v>
      </c>
      <c r="I107" s="3" t="s">
        <v>374</v>
      </c>
      <c r="J107" s="3" t="s">
        <v>217</v>
      </c>
      <c r="K107" s="22" t="s">
        <v>1451</v>
      </c>
      <c r="L107" s="3" t="s">
        <v>589</v>
      </c>
      <c r="M107" s="24" t="s">
        <v>1651</v>
      </c>
      <c r="N107" s="24"/>
      <c r="O107" s="19" t="str">
        <f t="shared" si="3"/>
        <v>977.37</v>
      </c>
      <c r="P107" s="15">
        <f t="shared" si="4"/>
        <v>977.37</v>
      </c>
      <c r="Q107" s="15"/>
      <c r="R107" s="3" t="s">
        <v>196</v>
      </c>
    </row>
    <row r="108" spans="8:18" ht="15.75" customHeight="1">
      <c r="H108" s="3">
        <v>105</v>
      </c>
      <c r="I108" s="3" t="s">
        <v>327</v>
      </c>
      <c r="J108" s="3" t="s">
        <v>217</v>
      </c>
      <c r="K108" s="22" t="s">
        <v>1452</v>
      </c>
      <c r="L108" s="3" t="s">
        <v>592</v>
      </c>
      <c r="M108" s="24" t="s">
        <v>1652</v>
      </c>
      <c r="N108" s="24"/>
      <c r="O108" s="19" t="str">
        <f t="shared" si="3"/>
        <v>585.79</v>
      </c>
      <c r="P108" s="15">
        <f t="shared" si="4"/>
        <v>585.79</v>
      </c>
      <c r="Q108" s="15"/>
      <c r="R108" s="3" t="s">
        <v>196</v>
      </c>
    </row>
    <row r="109" spans="8:18" ht="15.75" customHeight="1">
      <c r="H109" s="3">
        <v>106</v>
      </c>
      <c r="I109" s="3" t="s">
        <v>327</v>
      </c>
      <c r="J109" s="3" t="s">
        <v>217</v>
      </c>
      <c r="K109" s="22" t="s">
        <v>1453</v>
      </c>
      <c r="L109" s="3" t="s">
        <v>594</v>
      </c>
      <c r="M109" s="24" t="s">
        <v>1653</v>
      </c>
      <c r="N109" s="24"/>
      <c r="O109" s="19" t="str">
        <f t="shared" si="3"/>
        <v>539.47</v>
      </c>
      <c r="P109" s="15">
        <f t="shared" si="4"/>
        <v>539.47</v>
      </c>
      <c r="Q109" s="15"/>
      <c r="R109" s="3" t="s">
        <v>214</v>
      </c>
    </row>
    <row r="110" spans="8:18" ht="15.75" customHeight="1">
      <c r="H110" s="3">
        <v>107</v>
      </c>
      <c r="I110" s="3" t="s">
        <v>363</v>
      </c>
      <c r="J110" s="3" t="s">
        <v>217</v>
      </c>
      <c r="K110" s="22" t="s">
        <v>1454</v>
      </c>
      <c r="L110" s="3" t="s">
        <v>597</v>
      </c>
      <c r="M110" s="24" t="s">
        <v>1654</v>
      </c>
      <c r="N110" s="24"/>
      <c r="O110" s="19" t="str">
        <f t="shared" si="3"/>
        <v>1130.91</v>
      </c>
      <c r="P110" s="15">
        <f t="shared" si="4"/>
        <v>1130.9100000000001</v>
      </c>
      <c r="Q110" s="15"/>
      <c r="R110" s="3" t="s">
        <v>214</v>
      </c>
    </row>
    <row r="111" spans="8:18" ht="15.75" customHeight="1">
      <c r="H111" s="3">
        <v>108</v>
      </c>
      <c r="I111" s="3" t="s">
        <v>342</v>
      </c>
      <c r="J111" s="3" t="s">
        <v>217</v>
      </c>
      <c r="K111" s="22" t="s">
        <v>1455</v>
      </c>
      <c r="L111" s="3" t="s">
        <v>599</v>
      </c>
      <c r="M111" s="24" t="s">
        <v>1655</v>
      </c>
      <c r="N111" s="24"/>
      <c r="O111" s="19" t="str">
        <f t="shared" si="3"/>
        <v>1238.52</v>
      </c>
      <c r="P111" s="15">
        <f t="shared" si="4"/>
        <v>1238.52</v>
      </c>
      <c r="Q111" s="15"/>
      <c r="R111" s="3" t="s">
        <v>214</v>
      </c>
    </row>
    <row r="112" spans="8:18" ht="15.75" customHeight="1">
      <c r="H112" s="3">
        <v>109</v>
      </c>
      <c r="I112" s="3" t="s">
        <v>342</v>
      </c>
      <c r="J112" s="3" t="s">
        <v>217</v>
      </c>
      <c r="K112" s="22" t="s">
        <v>1456</v>
      </c>
      <c r="L112" s="3" t="s">
        <v>602</v>
      </c>
      <c r="M112" s="24" t="s">
        <v>1656</v>
      </c>
      <c r="N112" s="24"/>
      <c r="O112" s="19" t="str">
        <f t="shared" si="3"/>
        <v>1081.79</v>
      </c>
      <c r="P112" s="15">
        <f t="shared" si="4"/>
        <v>1081.79</v>
      </c>
      <c r="Q112" s="15"/>
      <c r="R112" s="3" t="s">
        <v>214</v>
      </c>
    </row>
    <row r="113" spans="8:18" ht="15.75" customHeight="1">
      <c r="H113" s="3">
        <v>110</v>
      </c>
      <c r="I113" s="3" t="s">
        <v>354</v>
      </c>
      <c r="J113" s="3" t="s">
        <v>217</v>
      </c>
      <c r="K113" s="22" t="s">
        <v>1457</v>
      </c>
      <c r="L113" s="3" t="s">
        <v>606</v>
      </c>
      <c r="M113" s="24" t="s">
        <v>1657</v>
      </c>
      <c r="N113" s="24"/>
      <c r="O113" s="19" t="str">
        <f t="shared" si="3"/>
        <v>186.03</v>
      </c>
      <c r="P113" s="15">
        <f t="shared" si="4"/>
        <v>186.03</v>
      </c>
      <c r="Q113" s="15"/>
      <c r="R113" s="3" t="s">
        <v>196</v>
      </c>
    </row>
    <row r="114" spans="8:18" ht="15.75" customHeight="1">
      <c r="H114" s="3">
        <v>111</v>
      </c>
      <c r="I114" s="3" t="s">
        <v>324</v>
      </c>
      <c r="J114" s="3" t="s">
        <v>217</v>
      </c>
      <c r="K114" s="22" t="s">
        <v>1458</v>
      </c>
      <c r="L114" s="3" t="s">
        <v>609</v>
      </c>
      <c r="M114" s="24" t="s">
        <v>1658</v>
      </c>
      <c r="N114" s="24"/>
      <c r="O114" s="19" t="str">
        <f t="shared" si="3"/>
        <v>1341.94</v>
      </c>
      <c r="P114" s="15">
        <f t="shared" si="4"/>
        <v>1341.94</v>
      </c>
      <c r="Q114" s="15"/>
      <c r="R114" s="3" t="s">
        <v>196</v>
      </c>
    </row>
    <row r="115" spans="8:18" ht="15.75" customHeight="1">
      <c r="H115" s="3">
        <v>112</v>
      </c>
      <c r="I115" s="3" t="s">
        <v>380</v>
      </c>
      <c r="J115" s="3" t="s">
        <v>217</v>
      </c>
      <c r="K115" s="22" t="s">
        <v>1459</v>
      </c>
      <c r="L115" s="3" t="s">
        <v>611</v>
      </c>
      <c r="M115" s="24" t="s">
        <v>1659</v>
      </c>
      <c r="N115" s="24"/>
      <c r="O115" s="19" t="str">
        <f t="shared" si="3"/>
        <v>242.1</v>
      </c>
      <c r="P115" s="15">
        <f t="shared" si="4"/>
        <v>242.1</v>
      </c>
      <c r="Q115" s="15"/>
      <c r="R115" s="3" t="s">
        <v>196</v>
      </c>
    </row>
    <row r="116" spans="8:18" ht="15.75" customHeight="1">
      <c r="H116" s="3">
        <v>113</v>
      </c>
      <c r="I116" s="3" t="s">
        <v>380</v>
      </c>
      <c r="J116" s="3" t="s">
        <v>217</v>
      </c>
      <c r="K116" s="22" t="s">
        <v>1460</v>
      </c>
      <c r="L116" s="3" t="s">
        <v>613</v>
      </c>
      <c r="M116" s="24" t="s">
        <v>1660</v>
      </c>
      <c r="N116" s="24"/>
      <c r="O116" s="19" t="str">
        <f t="shared" si="3"/>
        <v>98.64</v>
      </c>
      <c r="P116" s="15">
        <f t="shared" si="4"/>
        <v>98.64</v>
      </c>
      <c r="Q116" s="15"/>
      <c r="R116" s="3" t="s">
        <v>196</v>
      </c>
    </row>
    <row r="117" spans="8:18" ht="15.75" customHeight="1">
      <c r="H117" s="3">
        <v>114</v>
      </c>
      <c r="I117" s="3" t="s">
        <v>319</v>
      </c>
      <c r="J117" s="3" t="s">
        <v>217</v>
      </c>
      <c r="K117" s="22" t="s">
        <v>1461</v>
      </c>
      <c r="L117" s="3" t="s">
        <v>615</v>
      </c>
      <c r="M117" s="24" t="s">
        <v>1661</v>
      </c>
      <c r="N117" s="24"/>
      <c r="O117" s="19" t="str">
        <f t="shared" si="3"/>
        <v>222.26</v>
      </c>
      <c r="P117" s="15">
        <f t="shared" si="4"/>
        <v>222.26</v>
      </c>
      <c r="Q117" s="15"/>
      <c r="R117" s="3" t="s">
        <v>214</v>
      </c>
    </row>
    <row r="118" spans="8:18" ht="15.75" customHeight="1">
      <c r="H118" s="3">
        <v>115</v>
      </c>
      <c r="I118" s="3" t="s">
        <v>327</v>
      </c>
      <c r="J118" s="3" t="s">
        <v>217</v>
      </c>
      <c r="K118" s="22" t="s">
        <v>1462</v>
      </c>
      <c r="L118" s="3" t="s">
        <v>618</v>
      </c>
      <c r="M118" s="24" t="s">
        <v>1662</v>
      </c>
      <c r="N118" s="24"/>
      <c r="O118" s="19" t="str">
        <f t="shared" si="3"/>
        <v>1021.91</v>
      </c>
      <c r="P118" s="15">
        <f t="shared" si="4"/>
        <v>1021.91</v>
      </c>
      <c r="Q118" s="15"/>
      <c r="R118" s="3" t="s">
        <v>214</v>
      </c>
    </row>
    <row r="119" spans="8:18" ht="15.75" customHeight="1">
      <c r="H119" s="3">
        <v>116</v>
      </c>
      <c r="I119" s="3" t="s">
        <v>324</v>
      </c>
      <c r="J119" s="3" t="s">
        <v>217</v>
      </c>
      <c r="K119" s="22" t="s">
        <v>1463</v>
      </c>
      <c r="L119" s="3" t="s">
        <v>620</v>
      </c>
      <c r="M119" s="24" t="s">
        <v>1663</v>
      </c>
      <c r="N119" s="24"/>
      <c r="O119" s="19" t="str">
        <f t="shared" si="3"/>
        <v>1149.29</v>
      </c>
      <c r="P119" s="15">
        <f t="shared" si="4"/>
        <v>1149.29</v>
      </c>
      <c r="Q119" s="15"/>
      <c r="R119" s="3" t="s">
        <v>196</v>
      </c>
    </row>
    <row r="120" spans="8:18" ht="15.75" customHeight="1">
      <c r="H120" s="3">
        <v>117</v>
      </c>
      <c r="I120" s="3" t="s">
        <v>319</v>
      </c>
      <c r="J120" s="3" t="s">
        <v>217</v>
      </c>
      <c r="K120" s="22" t="s">
        <v>1464</v>
      </c>
      <c r="L120" s="3" t="s">
        <v>623</v>
      </c>
      <c r="M120" s="24" t="s">
        <v>1664</v>
      </c>
      <c r="N120" s="24"/>
      <c r="O120" s="19" t="str">
        <f t="shared" si="3"/>
        <v>345.93</v>
      </c>
      <c r="P120" s="15">
        <f t="shared" si="4"/>
        <v>345.93</v>
      </c>
      <c r="Q120" s="15"/>
      <c r="R120" s="3" t="s">
        <v>214</v>
      </c>
    </row>
    <row r="121" spans="8:18" ht="15.75" customHeight="1">
      <c r="H121" s="3">
        <v>118</v>
      </c>
      <c r="I121" s="3" t="s">
        <v>319</v>
      </c>
      <c r="J121" s="3" t="s">
        <v>217</v>
      </c>
      <c r="K121" s="22" t="s">
        <v>1465</v>
      </c>
      <c r="L121" s="3" t="s">
        <v>625</v>
      </c>
      <c r="M121" s="24" t="s">
        <v>1665</v>
      </c>
      <c r="N121" s="24"/>
      <c r="O121" s="19" t="str">
        <f t="shared" si="3"/>
        <v>391.4</v>
      </c>
      <c r="P121" s="15">
        <f t="shared" si="4"/>
        <v>391.4</v>
      </c>
      <c r="Q121" s="15"/>
      <c r="R121" s="3" t="s">
        <v>214</v>
      </c>
    </row>
    <row r="122" spans="8:18" ht="15.75" customHeight="1">
      <c r="H122" s="3">
        <v>119</v>
      </c>
      <c r="I122" s="3" t="s">
        <v>380</v>
      </c>
      <c r="J122" s="3" t="s">
        <v>217</v>
      </c>
      <c r="K122" s="22" t="s">
        <v>1466</v>
      </c>
      <c r="L122" s="3" t="s">
        <v>628</v>
      </c>
      <c r="M122" s="24" t="s">
        <v>1666</v>
      </c>
      <c r="N122" s="24"/>
      <c r="O122" s="19" t="str">
        <f t="shared" si="3"/>
        <v>603.65</v>
      </c>
      <c r="P122" s="15">
        <f t="shared" si="4"/>
        <v>603.65</v>
      </c>
      <c r="Q122" s="15"/>
      <c r="R122" s="3" t="s">
        <v>214</v>
      </c>
    </row>
    <row r="123" spans="8:18" ht="15.75" customHeight="1">
      <c r="H123" s="3">
        <v>120</v>
      </c>
      <c r="I123" s="3" t="s">
        <v>342</v>
      </c>
      <c r="J123" s="3" t="s">
        <v>217</v>
      </c>
      <c r="K123" s="22" t="s">
        <v>1467</v>
      </c>
      <c r="L123" s="3" t="s">
        <v>631</v>
      </c>
      <c r="M123" s="24" t="s">
        <v>1667</v>
      </c>
      <c r="N123" s="24"/>
      <c r="O123" s="19" t="str">
        <f t="shared" si="3"/>
        <v>1056.02</v>
      </c>
      <c r="P123" s="15">
        <f t="shared" si="4"/>
        <v>1056.02</v>
      </c>
      <c r="Q123" s="15"/>
      <c r="R123" s="3" t="s">
        <v>214</v>
      </c>
    </row>
    <row r="124" spans="8:18" ht="15.75" customHeight="1">
      <c r="H124" s="3">
        <v>121</v>
      </c>
      <c r="I124" s="3" t="s">
        <v>327</v>
      </c>
      <c r="J124" s="3" t="s">
        <v>217</v>
      </c>
      <c r="K124" s="22" t="s">
        <v>1468</v>
      </c>
      <c r="L124" s="3" t="s">
        <v>634</v>
      </c>
      <c r="M124" s="24" t="s">
        <v>1668</v>
      </c>
      <c r="N124" s="24"/>
      <c r="O124" s="19" t="str">
        <f t="shared" si="3"/>
        <v>1360.59</v>
      </c>
      <c r="P124" s="15">
        <f t="shared" si="4"/>
        <v>1360.59</v>
      </c>
      <c r="Q124" s="15"/>
      <c r="R124" s="3" t="s">
        <v>214</v>
      </c>
    </row>
    <row r="125" spans="8:18" ht="15.75" customHeight="1">
      <c r="H125" s="3">
        <v>122</v>
      </c>
      <c r="I125" s="3" t="s">
        <v>327</v>
      </c>
      <c r="J125" s="3" t="s">
        <v>217</v>
      </c>
      <c r="K125" s="22" t="s">
        <v>1469</v>
      </c>
      <c r="L125" s="3" t="s">
        <v>637</v>
      </c>
      <c r="M125" s="24" t="s">
        <v>1669</v>
      </c>
      <c r="N125" s="24"/>
      <c r="O125" s="19" t="str">
        <f t="shared" si="3"/>
        <v>1216.48</v>
      </c>
      <c r="P125" s="15">
        <f t="shared" si="4"/>
        <v>1216.48</v>
      </c>
      <c r="Q125" s="15"/>
      <c r="R125" s="3" t="s">
        <v>214</v>
      </c>
    </row>
    <row r="126" spans="8:18" ht="15.75" customHeight="1">
      <c r="H126" s="3">
        <v>123</v>
      </c>
      <c r="I126" s="3" t="s">
        <v>342</v>
      </c>
      <c r="J126" s="3" t="s">
        <v>217</v>
      </c>
      <c r="K126" s="22" t="s">
        <v>1470</v>
      </c>
      <c r="L126" s="3" t="s">
        <v>640</v>
      </c>
      <c r="M126" s="24" t="s">
        <v>1670</v>
      </c>
      <c r="N126" s="24"/>
      <c r="O126" s="19" t="str">
        <f t="shared" si="3"/>
        <v>1201.73</v>
      </c>
      <c r="P126" s="15">
        <f t="shared" si="4"/>
        <v>1201.73</v>
      </c>
      <c r="Q126" s="15"/>
      <c r="R126" s="3" t="s">
        <v>214</v>
      </c>
    </row>
    <row r="127" spans="8:18" ht="15.75" customHeight="1">
      <c r="H127" s="3">
        <v>124</v>
      </c>
      <c r="I127" s="3" t="s">
        <v>363</v>
      </c>
      <c r="J127" s="3" t="s">
        <v>217</v>
      </c>
      <c r="K127" s="22" t="s">
        <v>1471</v>
      </c>
      <c r="L127" s="3" t="s">
        <v>643</v>
      </c>
      <c r="M127" s="24" t="s">
        <v>1671</v>
      </c>
      <c r="N127" s="24"/>
      <c r="O127" s="19" t="str">
        <f t="shared" si="3"/>
        <v>888.49</v>
      </c>
      <c r="P127" s="15">
        <f t="shared" si="4"/>
        <v>888.49</v>
      </c>
      <c r="Q127" s="15"/>
      <c r="R127" s="3" t="s">
        <v>214</v>
      </c>
    </row>
    <row r="128" spans="8:18" ht="15.75" customHeight="1">
      <c r="H128" s="3">
        <v>125</v>
      </c>
      <c r="I128" s="3" t="s">
        <v>342</v>
      </c>
      <c r="J128" s="3" t="s">
        <v>217</v>
      </c>
      <c r="K128" s="22" t="s">
        <v>1472</v>
      </c>
      <c r="L128" s="3" t="s">
        <v>646</v>
      </c>
      <c r="M128" s="24" t="s">
        <v>1672</v>
      </c>
      <c r="N128" s="24"/>
      <c r="O128" s="19" t="str">
        <f t="shared" si="3"/>
        <v>546.4</v>
      </c>
      <c r="P128" s="15">
        <f t="shared" si="4"/>
        <v>546.4</v>
      </c>
      <c r="Q128" s="15"/>
      <c r="R128" s="3" t="s">
        <v>214</v>
      </c>
    </row>
    <row r="129" spans="8:18" ht="15.75" customHeight="1">
      <c r="H129" s="3">
        <v>126</v>
      </c>
      <c r="I129" s="3" t="s">
        <v>315</v>
      </c>
      <c r="J129" s="3" t="s">
        <v>217</v>
      </c>
      <c r="K129" s="22" t="s">
        <v>1473</v>
      </c>
      <c r="L129" s="3" t="s">
        <v>647</v>
      </c>
      <c r="M129" s="24" t="s">
        <v>1673</v>
      </c>
      <c r="N129" s="24"/>
      <c r="O129" s="19" t="str">
        <f t="shared" si="3"/>
        <v>615.21</v>
      </c>
      <c r="P129" s="15">
        <f t="shared" si="4"/>
        <v>615.21</v>
      </c>
      <c r="Q129" s="15"/>
      <c r="R129" s="3" t="s">
        <v>214</v>
      </c>
    </row>
    <row r="130" spans="8:18" ht="15.75" customHeight="1">
      <c r="H130" s="3">
        <v>127</v>
      </c>
      <c r="I130" s="3" t="s">
        <v>354</v>
      </c>
      <c r="J130" s="3" t="s">
        <v>217</v>
      </c>
      <c r="K130" s="22" t="s">
        <v>1474</v>
      </c>
      <c r="L130" s="3" t="s">
        <v>648</v>
      </c>
      <c r="M130" s="24" t="s">
        <v>1674</v>
      </c>
      <c r="N130" s="24"/>
      <c r="O130" s="19" t="str">
        <f t="shared" si="3"/>
        <v>1271.28</v>
      </c>
      <c r="P130" s="15">
        <f t="shared" si="4"/>
        <v>1271.28</v>
      </c>
      <c r="Q130" s="15"/>
      <c r="R130" s="3" t="s">
        <v>196</v>
      </c>
    </row>
    <row r="131" spans="8:18" ht="15.75" customHeight="1">
      <c r="H131" s="3">
        <v>128</v>
      </c>
      <c r="I131" s="3" t="s">
        <v>380</v>
      </c>
      <c r="J131" s="3" t="s">
        <v>217</v>
      </c>
      <c r="K131" s="22" t="s">
        <v>1475</v>
      </c>
      <c r="L131" s="3" t="s">
        <v>650</v>
      </c>
      <c r="M131" s="24" t="s">
        <v>1675</v>
      </c>
      <c r="N131" s="24"/>
      <c r="O131" s="19" t="str">
        <f t="shared" si="3"/>
        <v>968.83</v>
      </c>
      <c r="P131" s="15">
        <f t="shared" si="4"/>
        <v>968.83</v>
      </c>
      <c r="Q131" s="15"/>
      <c r="R131" s="3" t="s">
        <v>214</v>
      </c>
    </row>
    <row r="132" spans="8:18" ht="15.75" customHeight="1">
      <c r="H132" s="3">
        <v>129</v>
      </c>
      <c r="I132" s="3" t="s">
        <v>324</v>
      </c>
      <c r="J132" s="3" t="s">
        <v>217</v>
      </c>
      <c r="K132" s="22" t="s">
        <v>1476</v>
      </c>
      <c r="L132" s="3" t="s">
        <v>652</v>
      </c>
      <c r="M132" s="24" t="s">
        <v>1676</v>
      </c>
      <c r="N132" s="24"/>
      <c r="O132" s="19" t="str">
        <f t="shared" si="3"/>
        <v>494.3</v>
      </c>
      <c r="P132" s="15">
        <f t="shared" si="4"/>
        <v>494.3</v>
      </c>
      <c r="Q132" s="15"/>
      <c r="R132" s="3" t="s">
        <v>214</v>
      </c>
    </row>
    <row r="133" spans="8:18" ht="15.75" customHeight="1">
      <c r="H133" s="3">
        <v>130</v>
      </c>
      <c r="I133" s="3" t="s">
        <v>342</v>
      </c>
      <c r="J133" s="3" t="s">
        <v>217</v>
      </c>
      <c r="K133" s="22" t="s">
        <v>1477</v>
      </c>
      <c r="L133" s="3" t="s">
        <v>654</v>
      </c>
      <c r="M133" s="24" t="s">
        <v>1677</v>
      </c>
      <c r="N133" s="24"/>
      <c r="O133" s="19" t="str">
        <f t="shared" ref="O133:O196" si="5">LEFT(L133,LEN(L133)-2)</f>
        <v>833.7</v>
      </c>
      <c r="P133" s="15">
        <f t="shared" ref="P133:P196" si="6">ROUND(O133,2)</f>
        <v>833.7</v>
      </c>
      <c r="Q133" s="15"/>
      <c r="R133" s="3" t="s">
        <v>196</v>
      </c>
    </row>
    <row r="134" spans="8:18" ht="15.75" customHeight="1">
      <c r="H134" s="3">
        <v>131</v>
      </c>
      <c r="I134" s="3" t="s">
        <v>296</v>
      </c>
      <c r="J134" s="3" t="s">
        <v>217</v>
      </c>
      <c r="K134" s="22" t="s">
        <v>1478</v>
      </c>
      <c r="L134" s="3" t="s">
        <v>656</v>
      </c>
      <c r="M134" s="24" t="s">
        <v>1678</v>
      </c>
      <c r="N134" s="24"/>
      <c r="O134" s="19" t="str">
        <f t="shared" si="5"/>
        <v>646.98</v>
      </c>
      <c r="P134" s="15">
        <f t="shared" si="6"/>
        <v>646.98</v>
      </c>
      <c r="Q134" s="15"/>
      <c r="R134" s="3" t="s">
        <v>196</v>
      </c>
    </row>
    <row r="135" spans="8:18" ht="15.75" customHeight="1">
      <c r="H135" s="3">
        <v>132</v>
      </c>
      <c r="I135" s="3" t="s">
        <v>315</v>
      </c>
      <c r="J135" s="3" t="s">
        <v>217</v>
      </c>
      <c r="K135" s="22" t="s">
        <v>1479</v>
      </c>
      <c r="L135" s="3" t="s">
        <v>658</v>
      </c>
      <c r="M135" s="24" t="s">
        <v>1679</v>
      </c>
      <c r="N135" s="24"/>
      <c r="O135" s="19" t="str">
        <f t="shared" si="5"/>
        <v>521.38</v>
      </c>
      <c r="P135" s="15">
        <f t="shared" si="6"/>
        <v>521.38</v>
      </c>
      <c r="Q135" s="15"/>
      <c r="R135" s="3" t="s">
        <v>196</v>
      </c>
    </row>
    <row r="136" spans="8:18" ht="15.75" customHeight="1">
      <c r="H136" s="3">
        <v>133</v>
      </c>
      <c r="I136" s="3" t="s">
        <v>374</v>
      </c>
      <c r="J136" s="3" t="s">
        <v>217</v>
      </c>
      <c r="K136" s="22" t="s">
        <v>1480</v>
      </c>
      <c r="L136" s="3" t="s">
        <v>661</v>
      </c>
      <c r="M136" s="24" t="s">
        <v>1680</v>
      </c>
      <c r="N136" s="24"/>
      <c r="O136" s="19" t="str">
        <f t="shared" si="5"/>
        <v>686.01</v>
      </c>
      <c r="P136" s="15">
        <f t="shared" si="6"/>
        <v>686.01</v>
      </c>
      <c r="Q136" s="15"/>
      <c r="R136" s="3" t="s">
        <v>214</v>
      </c>
    </row>
    <row r="137" spans="8:18" ht="15.75" customHeight="1">
      <c r="H137" s="3">
        <v>134</v>
      </c>
      <c r="I137" s="3" t="s">
        <v>319</v>
      </c>
      <c r="J137" s="3" t="s">
        <v>217</v>
      </c>
      <c r="K137" s="22" t="s">
        <v>1481</v>
      </c>
      <c r="L137" s="3" t="s">
        <v>663</v>
      </c>
      <c r="M137" s="24" t="s">
        <v>1681</v>
      </c>
      <c r="N137" s="24"/>
      <c r="O137" s="19" t="str">
        <f t="shared" si="5"/>
        <v>461.39</v>
      </c>
      <c r="P137" s="15">
        <f t="shared" si="6"/>
        <v>461.39</v>
      </c>
      <c r="Q137" s="15"/>
      <c r="R137" s="3" t="s">
        <v>196</v>
      </c>
    </row>
    <row r="138" spans="8:18" ht="15.75" customHeight="1">
      <c r="H138" s="3">
        <v>135</v>
      </c>
      <c r="I138" s="3" t="s">
        <v>354</v>
      </c>
      <c r="J138" s="3" t="s">
        <v>217</v>
      </c>
      <c r="K138" s="22" t="s">
        <v>1482</v>
      </c>
      <c r="L138" s="3" t="s">
        <v>666</v>
      </c>
      <c r="M138" s="24" t="s">
        <v>1682</v>
      </c>
      <c r="N138" s="24"/>
      <c r="O138" s="19" t="str">
        <f t="shared" si="5"/>
        <v>1281.3</v>
      </c>
      <c r="P138" s="15">
        <f t="shared" si="6"/>
        <v>1281.3</v>
      </c>
      <c r="Q138" s="15"/>
      <c r="R138" s="3" t="s">
        <v>196</v>
      </c>
    </row>
    <row r="139" spans="8:18" ht="15.75" customHeight="1">
      <c r="H139" s="3">
        <v>136</v>
      </c>
      <c r="I139" s="3" t="s">
        <v>327</v>
      </c>
      <c r="J139" s="3" t="s">
        <v>217</v>
      </c>
      <c r="K139" s="22" t="s">
        <v>1483</v>
      </c>
      <c r="L139" s="3" t="s">
        <v>668</v>
      </c>
      <c r="M139" s="24" t="s">
        <v>1683</v>
      </c>
      <c r="N139" s="24"/>
      <c r="O139" s="19" t="str">
        <f t="shared" si="5"/>
        <v>654.83</v>
      </c>
      <c r="P139" s="15">
        <f t="shared" si="6"/>
        <v>654.83000000000004</v>
      </c>
      <c r="Q139" s="15"/>
      <c r="R139" s="3" t="s">
        <v>196</v>
      </c>
    </row>
    <row r="140" spans="8:18" ht="15.75" customHeight="1">
      <c r="H140" s="3">
        <v>137</v>
      </c>
      <c r="I140" s="3" t="s">
        <v>342</v>
      </c>
      <c r="J140" s="3" t="s">
        <v>217</v>
      </c>
      <c r="K140" s="22" t="s">
        <v>1484</v>
      </c>
      <c r="L140" s="3" t="s">
        <v>671</v>
      </c>
      <c r="M140" s="24" t="s">
        <v>1684</v>
      </c>
      <c r="N140" s="24"/>
      <c r="O140" s="19" t="str">
        <f t="shared" si="5"/>
        <v>868.09</v>
      </c>
      <c r="P140" s="15">
        <f t="shared" si="6"/>
        <v>868.09</v>
      </c>
      <c r="Q140" s="15"/>
      <c r="R140" s="3" t="s">
        <v>214</v>
      </c>
    </row>
    <row r="141" spans="8:18" ht="15.75" customHeight="1">
      <c r="H141" s="3">
        <v>138</v>
      </c>
      <c r="I141" s="3" t="s">
        <v>315</v>
      </c>
      <c r="J141" s="3" t="s">
        <v>217</v>
      </c>
      <c r="K141" s="22" t="s">
        <v>1485</v>
      </c>
      <c r="L141" s="3" t="s">
        <v>673</v>
      </c>
      <c r="M141" s="24" t="s">
        <v>1685</v>
      </c>
      <c r="N141" s="24"/>
      <c r="O141" s="19" t="str">
        <f t="shared" si="5"/>
        <v>82.1</v>
      </c>
      <c r="P141" s="15">
        <f t="shared" si="6"/>
        <v>82.1</v>
      </c>
      <c r="Q141" s="15"/>
      <c r="R141" s="3" t="s">
        <v>214</v>
      </c>
    </row>
    <row r="142" spans="8:18" ht="15.75" customHeight="1">
      <c r="H142" s="3">
        <v>139</v>
      </c>
      <c r="I142" s="3" t="s">
        <v>327</v>
      </c>
      <c r="J142" s="3" t="s">
        <v>217</v>
      </c>
      <c r="K142" s="22" t="s">
        <v>1486</v>
      </c>
      <c r="L142" s="3" t="s">
        <v>676</v>
      </c>
      <c r="M142" s="24" t="s">
        <v>1686</v>
      </c>
      <c r="N142" s="24"/>
      <c r="O142" s="19" t="str">
        <f t="shared" si="5"/>
        <v>1474.67</v>
      </c>
      <c r="P142" s="15">
        <f t="shared" si="6"/>
        <v>1474.67</v>
      </c>
      <c r="Q142" s="15"/>
      <c r="R142" s="3" t="s">
        <v>214</v>
      </c>
    </row>
    <row r="143" spans="8:18" ht="15.75" customHeight="1">
      <c r="H143" s="3">
        <v>140</v>
      </c>
      <c r="I143" s="3" t="s">
        <v>342</v>
      </c>
      <c r="J143" s="3" t="s">
        <v>217</v>
      </c>
      <c r="K143" s="22" t="s">
        <v>1487</v>
      </c>
      <c r="L143" s="3" t="s">
        <v>679</v>
      </c>
      <c r="M143" s="24" t="s">
        <v>1687</v>
      </c>
      <c r="N143" s="24"/>
      <c r="O143" s="19" t="str">
        <f t="shared" si="5"/>
        <v>1271.2</v>
      </c>
      <c r="P143" s="15">
        <f t="shared" si="6"/>
        <v>1271.2</v>
      </c>
      <c r="Q143" s="15"/>
      <c r="R143" s="3" t="s">
        <v>214</v>
      </c>
    </row>
    <row r="144" spans="8:18" ht="15.75" customHeight="1">
      <c r="H144" s="3">
        <v>141</v>
      </c>
      <c r="I144" s="3" t="s">
        <v>296</v>
      </c>
      <c r="J144" s="3" t="s">
        <v>217</v>
      </c>
      <c r="K144" s="22" t="s">
        <v>1488</v>
      </c>
      <c r="L144" s="3" t="s">
        <v>682</v>
      </c>
      <c r="M144" s="24" t="s">
        <v>1688</v>
      </c>
      <c r="N144" s="24"/>
      <c r="O144" s="19" t="str">
        <f t="shared" si="5"/>
        <v>300.73</v>
      </c>
      <c r="P144" s="15">
        <f t="shared" si="6"/>
        <v>300.73</v>
      </c>
      <c r="Q144" s="15"/>
      <c r="R144" s="3" t="s">
        <v>196</v>
      </c>
    </row>
    <row r="145" spans="8:18" ht="15.75" customHeight="1">
      <c r="H145" s="3">
        <v>142</v>
      </c>
      <c r="I145" s="3" t="s">
        <v>315</v>
      </c>
      <c r="J145" s="3" t="s">
        <v>217</v>
      </c>
      <c r="K145" s="22" t="s">
        <v>1489</v>
      </c>
      <c r="L145" s="3" t="s">
        <v>685</v>
      </c>
      <c r="M145" s="24" t="s">
        <v>1689</v>
      </c>
      <c r="N145" s="24"/>
      <c r="O145" s="19" t="str">
        <f t="shared" si="5"/>
        <v>454.67</v>
      </c>
      <c r="P145" s="15">
        <f t="shared" si="6"/>
        <v>454.67</v>
      </c>
      <c r="Q145" s="15"/>
      <c r="R145" s="3" t="s">
        <v>196</v>
      </c>
    </row>
    <row r="146" spans="8:18" ht="15.75" customHeight="1">
      <c r="H146" s="3">
        <v>143</v>
      </c>
      <c r="I146" s="3" t="s">
        <v>363</v>
      </c>
      <c r="J146" s="3" t="s">
        <v>217</v>
      </c>
      <c r="K146" s="22" t="s">
        <v>1490</v>
      </c>
      <c r="L146" s="3" t="s">
        <v>688</v>
      </c>
      <c r="M146" s="24" t="s">
        <v>1690</v>
      </c>
      <c r="N146" s="24"/>
      <c r="O146" s="19" t="str">
        <f t="shared" si="5"/>
        <v>402.27</v>
      </c>
      <c r="P146" s="15">
        <f t="shared" si="6"/>
        <v>402.27</v>
      </c>
      <c r="Q146" s="15"/>
      <c r="R146" s="3" t="s">
        <v>214</v>
      </c>
    </row>
    <row r="147" spans="8:18" ht="15.75" customHeight="1">
      <c r="H147" s="3">
        <v>144</v>
      </c>
      <c r="I147" s="3" t="s">
        <v>380</v>
      </c>
      <c r="J147" s="3" t="s">
        <v>217</v>
      </c>
      <c r="K147" s="22" t="s">
        <v>1491</v>
      </c>
      <c r="L147" s="3" t="s">
        <v>690</v>
      </c>
      <c r="M147" s="24" t="s">
        <v>1691</v>
      </c>
      <c r="N147" s="24"/>
      <c r="O147" s="19" t="str">
        <f t="shared" si="5"/>
        <v>474.33</v>
      </c>
      <c r="P147" s="15">
        <f t="shared" si="6"/>
        <v>474.33</v>
      </c>
      <c r="Q147" s="15"/>
      <c r="R147" s="3" t="s">
        <v>214</v>
      </c>
    </row>
    <row r="148" spans="8:18" ht="15.75" customHeight="1">
      <c r="H148" s="3">
        <v>145</v>
      </c>
      <c r="I148" s="3" t="s">
        <v>296</v>
      </c>
      <c r="J148" s="3" t="s">
        <v>217</v>
      </c>
      <c r="K148" s="22" t="s">
        <v>1492</v>
      </c>
      <c r="L148" s="3" t="s">
        <v>693</v>
      </c>
      <c r="M148" s="24" t="s">
        <v>1692</v>
      </c>
      <c r="N148" s="24"/>
      <c r="O148" s="19" t="str">
        <f t="shared" si="5"/>
        <v>896.86</v>
      </c>
      <c r="P148" s="15">
        <f t="shared" si="6"/>
        <v>896.86</v>
      </c>
      <c r="Q148" s="15"/>
      <c r="R148" s="3" t="s">
        <v>196</v>
      </c>
    </row>
    <row r="149" spans="8:18" ht="15.75" customHeight="1">
      <c r="H149" s="3">
        <v>146</v>
      </c>
      <c r="I149" s="3" t="s">
        <v>315</v>
      </c>
      <c r="J149" s="3" t="s">
        <v>217</v>
      </c>
      <c r="K149" s="22" t="s">
        <v>1493</v>
      </c>
      <c r="L149" s="3" t="s">
        <v>696</v>
      </c>
      <c r="M149" s="24" t="s">
        <v>1693</v>
      </c>
      <c r="N149" s="24"/>
      <c r="O149" s="19" t="str">
        <f t="shared" si="5"/>
        <v>455.54</v>
      </c>
      <c r="P149" s="15">
        <f t="shared" si="6"/>
        <v>455.54</v>
      </c>
      <c r="Q149" s="15"/>
      <c r="R149" s="3" t="s">
        <v>214</v>
      </c>
    </row>
    <row r="150" spans="8:18" ht="15.75" customHeight="1">
      <c r="H150" s="3">
        <v>147</v>
      </c>
      <c r="I150" s="3" t="s">
        <v>363</v>
      </c>
      <c r="J150" s="3" t="s">
        <v>217</v>
      </c>
      <c r="K150" s="22" t="s">
        <v>1494</v>
      </c>
      <c r="L150" s="3" t="s">
        <v>699</v>
      </c>
      <c r="M150" s="24" t="s">
        <v>1694</v>
      </c>
      <c r="N150" s="24"/>
      <c r="O150" s="19" t="str">
        <f t="shared" si="5"/>
        <v>487.17</v>
      </c>
      <c r="P150" s="15">
        <f t="shared" si="6"/>
        <v>487.17</v>
      </c>
      <c r="Q150" s="15"/>
      <c r="R150" s="3" t="s">
        <v>196</v>
      </c>
    </row>
    <row r="151" spans="8:18" ht="15.75" customHeight="1">
      <c r="H151" s="3">
        <v>148</v>
      </c>
      <c r="I151" s="3" t="s">
        <v>327</v>
      </c>
      <c r="J151" s="3" t="s">
        <v>217</v>
      </c>
      <c r="K151" s="22" t="s">
        <v>1495</v>
      </c>
      <c r="L151" s="3" t="s">
        <v>701</v>
      </c>
      <c r="M151" s="24" t="s">
        <v>1695</v>
      </c>
      <c r="N151" s="24"/>
      <c r="O151" s="19" t="str">
        <f t="shared" si="5"/>
        <v>223.24</v>
      </c>
      <c r="P151" s="15">
        <f t="shared" si="6"/>
        <v>223.24</v>
      </c>
      <c r="Q151" s="15"/>
      <c r="R151" s="3" t="s">
        <v>196</v>
      </c>
    </row>
    <row r="152" spans="8:18" ht="15.75" customHeight="1">
      <c r="H152" s="3">
        <v>149</v>
      </c>
      <c r="I152" s="3" t="s">
        <v>324</v>
      </c>
      <c r="J152" s="3" t="s">
        <v>217</v>
      </c>
      <c r="K152" s="22" t="s">
        <v>1496</v>
      </c>
      <c r="L152" s="3" t="s">
        <v>704</v>
      </c>
      <c r="M152" s="24" t="s">
        <v>1696</v>
      </c>
      <c r="N152" s="24"/>
      <c r="O152" s="19" t="str">
        <f t="shared" si="5"/>
        <v>896.44</v>
      </c>
      <c r="P152" s="15">
        <f t="shared" si="6"/>
        <v>896.44</v>
      </c>
      <c r="Q152" s="15"/>
      <c r="R152" s="3" t="s">
        <v>196</v>
      </c>
    </row>
    <row r="153" spans="8:18" ht="15.75" customHeight="1">
      <c r="H153" s="3">
        <v>150</v>
      </c>
      <c r="I153" s="3" t="s">
        <v>296</v>
      </c>
      <c r="J153" s="3" t="s">
        <v>217</v>
      </c>
      <c r="K153" s="22" t="s">
        <v>1497</v>
      </c>
      <c r="L153" s="3" t="s">
        <v>707</v>
      </c>
      <c r="M153" s="24" t="s">
        <v>1697</v>
      </c>
      <c r="N153" s="24"/>
      <c r="O153" s="19" t="str">
        <f t="shared" si="5"/>
        <v>763.52</v>
      </c>
      <c r="P153" s="15">
        <f t="shared" si="6"/>
        <v>763.52</v>
      </c>
      <c r="Q153" s="15"/>
      <c r="R153" s="3" t="s">
        <v>214</v>
      </c>
    </row>
    <row r="154" spans="8:18" ht="15.75" customHeight="1">
      <c r="H154" s="3">
        <v>151</v>
      </c>
      <c r="I154" s="3" t="s">
        <v>363</v>
      </c>
      <c r="J154" s="3" t="s">
        <v>217</v>
      </c>
      <c r="K154" s="22" t="s">
        <v>1498</v>
      </c>
      <c r="L154" s="3" t="s">
        <v>710</v>
      </c>
      <c r="M154" s="24" t="s">
        <v>1698</v>
      </c>
      <c r="N154" s="24"/>
      <c r="O154" s="19" t="str">
        <f t="shared" si="5"/>
        <v>1039.57</v>
      </c>
      <c r="P154" s="15">
        <f t="shared" si="6"/>
        <v>1039.57</v>
      </c>
      <c r="Q154" s="15"/>
      <c r="R154" s="3" t="s">
        <v>214</v>
      </c>
    </row>
    <row r="155" spans="8:18" ht="15.75" customHeight="1">
      <c r="H155" s="3">
        <v>152</v>
      </c>
      <c r="I155" s="3" t="s">
        <v>354</v>
      </c>
      <c r="J155" s="3" t="s">
        <v>217</v>
      </c>
      <c r="K155" s="22" t="s">
        <v>1499</v>
      </c>
      <c r="L155" s="3" t="s">
        <v>713</v>
      </c>
      <c r="M155" s="24" t="s">
        <v>1699</v>
      </c>
      <c r="N155" s="24"/>
      <c r="O155" s="19" t="str">
        <f t="shared" si="5"/>
        <v>857.67</v>
      </c>
      <c r="P155" s="15">
        <f t="shared" si="6"/>
        <v>857.67</v>
      </c>
      <c r="Q155" s="15"/>
      <c r="R155" s="3" t="s">
        <v>196</v>
      </c>
    </row>
    <row r="156" spans="8:18" ht="15.75" customHeight="1">
      <c r="H156" s="3">
        <v>153</v>
      </c>
      <c r="I156" s="3" t="s">
        <v>363</v>
      </c>
      <c r="J156" s="3" t="s">
        <v>217</v>
      </c>
      <c r="K156" s="22" t="s">
        <v>1500</v>
      </c>
      <c r="L156" s="3" t="s">
        <v>716</v>
      </c>
      <c r="M156" s="24" t="s">
        <v>1700</v>
      </c>
      <c r="N156" s="24"/>
      <c r="O156" s="19" t="str">
        <f t="shared" si="5"/>
        <v>1250.07</v>
      </c>
      <c r="P156" s="15">
        <f t="shared" si="6"/>
        <v>1250.07</v>
      </c>
      <c r="Q156" s="15"/>
      <c r="R156" s="3" t="s">
        <v>196</v>
      </c>
    </row>
    <row r="157" spans="8:18" ht="15.75" customHeight="1">
      <c r="H157" s="3">
        <v>154</v>
      </c>
      <c r="I157" s="3" t="s">
        <v>296</v>
      </c>
      <c r="J157" s="3" t="s">
        <v>217</v>
      </c>
      <c r="K157" s="22" t="s">
        <v>1501</v>
      </c>
      <c r="L157" s="3" t="s">
        <v>719</v>
      </c>
      <c r="M157" s="24" t="s">
        <v>1701</v>
      </c>
      <c r="N157" s="24"/>
      <c r="O157" s="19" t="str">
        <f t="shared" si="5"/>
        <v>1242.52</v>
      </c>
      <c r="P157" s="15">
        <f t="shared" si="6"/>
        <v>1242.52</v>
      </c>
      <c r="Q157" s="15"/>
      <c r="R157" s="3" t="s">
        <v>214</v>
      </c>
    </row>
    <row r="158" spans="8:18" ht="15.75" customHeight="1">
      <c r="H158" s="3">
        <v>155</v>
      </c>
      <c r="I158" s="3" t="s">
        <v>374</v>
      </c>
      <c r="J158" s="3" t="s">
        <v>217</v>
      </c>
      <c r="K158" s="22" t="s">
        <v>1502</v>
      </c>
      <c r="L158" s="3" t="s">
        <v>721</v>
      </c>
      <c r="M158" s="24" t="s">
        <v>1702</v>
      </c>
      <c r="N158" s="24"/>
      <c r="O158" s="19" t="str">
        <f t="shared" si="5"/>
        <v>1266.51</v>
      </c>
      <c r="P158" s="15">
        <f t="shared" si="6"/>
        <v>1266.51</v>
      </c>
      <c r="Q158" s="15"/>
      <c r="R158" s="3" t="s">
        <v>196</v>
      </c>
    </row>
    <row r="159" spans="8:18" ht="15.75" customHeight="1">
      <c r="H159" s="3">
        <v>156</v>
      </c>
      <c r="I159" s="3" t="s">
        <v>380</v>
      </c>
      <c r="J159" s="3" t="s">
        <v>217</v>
      </c>
      <c r="K159" s="22" t="s">
        <v>1503</v>
      </c>
      <c r="L159" s="3" t="s">
        <v>724</v>
      </c>
      <c r="M159" s="24" t="s">
        <v>1703</v>
      </c>
      <c r="N159" s="24"/>
      <c r="O159" s="19" t="str">
        <f t="shared" si="5"/>
        <v>1175.47</v>
      </c>
      <c r="P159" s="15">
        <f t="shared" si="6"/>
        <v>1175.47</v>
      </c>
      <c r="Q159" s="15"/>
      <c r="R159" s="3" t="s">
        <v>214</v>
      </c>
    </row>
    <row r="160" spans="8:18" ht="15.75" customHeight="1">
      <c r="H160" s="3">
        <v>157</v>
      </c>
      <c r="I160" s="3" t="s">
        <v>319</v>
      </c>
      <c r="J160" s="3" t="s">
        <v>217</v>
      </c>
      <c r="K160" s="22" t="s">
        <v>1504</v>
      </c>
      <c r="L160" s="3" t="s">
        <v>727</v>
      </c>
      <c r="M160" s="24" t="s">
        <v>1704</v>
      </c>
      <c r="N160" s="24"/>
      <c r="O160" s="19" t="str">
        <f t="shared" si="5"/>
        <v>1442.06</v>
      </c>
      <c r="P160" s="15">
        <f t="shared" si="6"/>
        <v>1442.06</v>
      </c>
      <c r="Q160" s="15"/>
      <c r="R160" s="3" t="s">
        <v>214</v>
      </c>
    </row>
    <row r="161" spans="8:18" ht="15.75" customHeight="1">
      <c r="H161" s="3">
        <v>158</v>
      </c>
      <c r="I161" s="3" t="s">
        <v>374</v>
      </c>
      <c r="J161" s="3" t="s">
        <v>217</v>
      </c>
      <c r="K161" s="22" t="s">
        <v>1505</v>
      </c>
      <c r="L161" s="3" t="s">
        <v>730</v>
      </c>
      <c r="M161" s="24" t="s">
        <v>1705</v>
      </c>
      <c r="N161" s="24"/>
      <c r="O161" s="19" t="str">
        <f t="shared" si="5"/>
        <v>1316.64</v>
      </c>
      <c r="P161" s="15">
        <f t="shared" si="6"/>
        <v>1316.64</v>
      </c>
      <c r="Q161" s="15"/>
      <c r="R161" s="3" t="s">
        <v>214</v>
      </c>
    </row>
    <row r="162" spans="8:18" ht="15.75" customHeight="1">
      <c r="H162" s="3">
        <v>159</v>
      </c>
      <c r="I162" s="3" t="s">
        <v>296</v>
      </c>
      <c r="J162" s="3" t="s">
        <v>217</v>
      </c>
      <c r="K162" s="22" t="s">
        <v>1506</v>
      </c>
      <c r="L162" s="3" t="s">
        <v>733</v>
      </c>
      <c r="M162" s="24" t="s">
        <v>1706</v>
      </c>
      <c r="N162" s="24"/>
      <c r="O162" s="19" t="str">
        <f t="shared" si="5"/>
        <v>1213.49</v>
      </c>
      <c r="P162" s="15">
        <f t="shared" si="6"/>
        <v>1213.49</v>
      </c>
      <c r="Q162" s="15"/>
      <c r="R162" s="3" t="s">
        <v>196</v>
      </c>
    </row>
    <row r="163" spans="8:18" ht="15.75" customHeight="1">
      <c r="H163" s="3">
        <v>160</v>
      </c>
      <c r="I163" s="3" t="s">
        <v>319</v>
      </c>
      <c r="J163" s="3" t="s">
        <v>217</v>
      </c>
      <c r="K163" s="22" t="s">
        <v>1507</v>
      </c>
      <c r="L163" s="3" t="s">
        <v>736</v>
      </c>
      <c r="M163" s="24" t="s">
        <v>1707</v>
      </c>
      <c r="N163" s="24"/>
      <c r="O163" s="19" t="str">
        <f t="shared" si="5"/>
        <v>1287.51</v>
      </c>
      <c r="P163" s="15">
        <f t="shared" si="6"/>
        <v>1287.51</v>
      </c>
      <c r="Q163" s="15"/>
      <c r="R163" s="3" t="s">
        <v>214</v>
      </c>
    </row>
    <row r="164" spans="8:18" ht="15.75" customHeight="1">
      <c r="H164" s="3">
        <v>161</v>
      </c>
      <c r="I164" s="3" t="s">
        <v>374</v>
      </c>
      <c r="J164" s="3" t="s">
        <v>217</v>
      </c>
      <c r="K164" s="22" t="s">
        <v>1508</v>
      </c>
      <c r="L164" s="3" t="s">
        <v>739</v>
      </c>
      <c r="M164" s="24" t="s">
        <v>1708</v>
      </c>
      <c r="N164" s="24"/>
      <c r="O164" s="19" t="str">
        <f t="shared" si="5"/>
        <v>1088.21</v>
      </c>
      <c r="P164" s="15">
        <f t="shared" si="6"/>
        <v>1088.21</v>
      </c>
      <c r="Q164" s="15"/>
      <c r="R164" s="3" t="s">
        <v>214</v>
      </c>
    </row>
    <row r="165" spans="8:18" ht="15.75" customHeight="1">
      <c r="H165" s="3">
        <v>162</v>
      </c>
      <c r="I165" s="3" t="s">
        <v>324</v>
      </c>
      <c r="J165" s="3" t="s">
        <v>217</v>
      </c>
      <c r="K165" s="22" t="s">
        <v>1509</v>
      </c>
      <c r="L165" s="3" t="s">
        <v>742</v>
      </c>
      <c r="M165" s="24" t="s">
        <v>1709</v>
      </c>
      <c r="N165" s="24"/>
      <c r="O165" s="19" t="str">
        <f t="shared" si="5"/>
        <v>746.24</v>
      </c>
      <c r="P165" s="15">
        <f t="shared" si="6"/>
        <v>746.24</v>
      </c>
      <c r="Q165" s="15"/>
      <c r="R165" s="3" t="s">
        <v>196</v>
      </c>
    </row>
    <row r="166" spans="8:18" ht="15.75" customHeight="1">
      <c r="H166" s="3">
        <v>163</v>
      </c>
      <c r="I166" s="3" t="s">
        <v>380</v>
      </c>
      <c r="J166" s="3" t="s">
        <v>217</v>
      </c>
      <c r="K166" s="22" t="s">
        <v>1510</v>
      </c>
      <c r="L166" s="3" t="s">
        <v>744</v>
      </c>
      <c r="M166" s="24" t="s">
        <v>1710</v>
      </c>
      <c r="N166" s="24"/>
      <c r="O166" s="19" t="str">
        <f t="shared" si="5"/>
        <v>1373.58</v>
      </c>
      <c r="P166" s="15">
        <f t="shared" si="6"/>
        <v>1373.58</v>
      </c>
      <c r="Q166" s="15"/>
      <c r="R166" s="3" t="s">
        <v>214</v>
      </c>
    </row>
    <row r="167" spans="8:18" ht="15.75" customHeight="1">
      <c r="H167" s="3">
        <v>164</v>
      </c>
      <c r="I167" s="3" t="s">
        <v>324</v>
      </c>
      <c r="J167" s="3" t="s">
        <v>217</v>
      </c>
      <c r="K167" s="22" t="s">
        <v>1511</v>
      </c>
      <c r="L167" s="3" t="s">
        <v>746</v>
      </c>
      <c r="M167" s="24" t="s">
        <v>1711</v>
      </c>
      <c r="N167" s="24"/>
      <c r="O167" s="19" t="str">
        <f t="shared" si="5"/>
        <v>1376.4</v>
      </c>
      <c r="P167" s="15">
        <f t="shared" si="6"/>
        <v>1376.4</v>
      </c>
      <c r="Q167" s="15"/>
      <c r="R167" s="3" t="s">
        <v>196</v>
      </c>
    </row>
    <row r="168" spans="8:18" ht="15.75" customHeight="1">
      <c r="H168" s="3">
        <v>165</v>
      </c>
      <c r="I168" s="3" t="s">
        <v>324</v>
      </c>
      <c r="J168" s="3" t="s">
        <v>217</v>
      </c>
      <c r="K168" s="22" t="s">
        <v>1512</v>
      </c>
      <c r="L168" s="3" t="s">
        <v>749</v>
      </c>
      <c r="M168" s="24" t="s">
        <v>1712</v>
      </c>
      <c r="N168" s="24"/>
      <c r="O168" s="19" t="str">
        <f t="shared" si="5"/>
        <v>1046.44</v>
      </c>
      <c r="P168" s="15">
        <f t="shared" si="6"/>
        <v>1046.44</v>
      </c>
      <c r="Q168" s="15"/>
      <c r="R168" s="3" t="s">
        <v>196</v>
      </c>
    </row>
    <row r="169" spans="8:18" ht="15.75" customHeight="1">
      <c r="H169" s="3">
        <v>166</v>
      </c>
      <c r="I169" s="3" t="s">
        <v>354</v>
      </c>
      <c r="J169" s="3" t="s">
        <v>217</v>
      </c>
      <c r="K169" s="22" t="s">
        <v>1513</v>
      </c>
      <c r="L169" s="3" t="s">
        <v>752</v>
      </c>
      <c r="M169" s="24" t="s">
        <v>1713</v>
      </c>
      <c r="N169" s="24"/>
      <c r="O169" s="19" t="str">
        <f t="shared" si="5"/>
        <v>642.86</v>
      </c>
      <c r="P169" s="15">
        <f t="shared" si="6"/>
        <v>642.86</v>
      </c>
      <c r="Q169" s="15"/>
      <c r="R169" s="3" t="s">
        <v>196</v>
      </c>
    </row>
    <row r="170" spans="8:18" ht="15.75" customHeight="1">
      <c r="H170" s="3">
        <v>167</v>
      </c>
      <c r="I170" s="3" t="s">
        <v>342</v>
      </c>
      <c r="J170" s="3" t="s">
        <v>217</v>
      </c>
      <c r="K170" s="22" t="s">
        <v>1514</v>
      </c>
      <c r="L170" s="3" t="s">
        <v>754</v>
      </c>
      <c r="M170" s="24" t="s">
        <v>1714</v>
      </c>
      <c r="N170" s="24"/>
      <c r="O170" s="19" t="str">
        <f t="shared" si="5"/>
        <v>351.03</v>
      </c>
      <c r="P170" s="15">
        <f t="shared" si="6"/>
        <v>351.03</v>
      </c>
      <c r="Q170" s="15"/>
      <c r="R170" s="3" t="s">
        <v>196</v>
      </c>
    </row>
    <row r="171" spans="8:18" ht="15.75" customHeight="1">
      <c r="H171" s="3">
        <v>168</v>
      </c>
      <c r="I171" s="3" t="s">
        <v>380</v>
      </c>
      <c r="J171" s="3" t="s">
        <v>217</v>
      </c>
      <c r="K171" s="22" t="s">
        <v>1515</v>
      </c>
      <c r="L171" s="3" t="s">
        <v>757</v>
      </c>
      <c r="M171" s="24" t="s">
        <v>1715</v>
      </c>
      <c r="N171" s="24"/>
      <c r="O171" s="19" t="str">
        <f t="shared" si="5"/>
        <v>1150.91</v>
      </c>
      <c r="P171" s="15">
        <f t="shared" si="6"/>
        <v>1150.9100000000001</v>
      </c>
      <c r="Q171" s="15"/>
      <c r="R171" s="3" t="s">
        <v>196</v>
      </c>
    </row>
    <row r="172" spans="8:18" ht="15.75" customHeight="1">
      <c r="H172" s="3">
        <v>169</v>
      </c>
      <c r="I172" s="3" t="s">
        <v>324</v>
      </c>
      <c r="J172" s="3" t="s">
        <v>217</v>
      </c>
      <c r="K172" s="22" t="s">
        <v>1516</v>
      </c>
      <c r="L172" s="3" t="s">
        <v>759</v>
      </c>
      <c r="M172" s="24" t="s">
        <v>1716</v>
      </c>
      <c r="N172" s="24"/>
      <c r="O172" s="19" t="str">
        <f t="shared" si="5"/>
        <v>972.4</v>
      </c>
      <c r="P172" s="15">
        <f t="shared" si="6"/>
        <v>972.4</v>
      </c>
      <c r="Q172" s="15"/>
      <c r="R172" s="3" t="s">
        <v>196</v>
      </c>
    </row>
    <row r="173" spans="8:18" ht="15.75" customHeight="1">
      <c r="H173" s="3">
        <v>170</v>
      </c>
      <c r="I173" s="3" t="s">
        <v>327</v>
      </c>
      <c r="J173" s="3" t="s">
        <v>217</v>
      </c>
      <c r="K173" s="22" t="s">
        <v>1517</v>
      </c>
      <c r="L173" s="3" t="s">
        <v>761</v>
      </c>
      <c r="M173" s="24" t="s">
        <v>1717</v>
      </c>
      <c r="N173" s="24"/>
      <c r="O173" s="19" t="str">
        <f t="shared" si="5"/>
        <v>159.77</v>
      </c>
      <c r="P173" s="15">
        <f t="shared" si="6"/>
        <v>159.77000000000001</v>
      </c>
      <c r="Q173" s="15"/>
      <c r="R173" s="3" t="s">
        <v>196</v>
      </c>
    </row>
    <row r="174" spans="8:18" ht="15.75" customHeight="1">
      <c r="H174" s="3">
        <v>171</v>
      </c>
      <c r="I174" s="3" t="s">
        <v>374</v>
      </c>
      <c r="J174" s="3" t="s">
        <v>217</v>
      </c>
      <c r="K174" s="22" t="s">
        <v>1518</v>
      </c>
      <c r="L174" s="3" t="s">
        <v>763</v>
      </c>
      <c r="M174" s="24" t="s">
        <v>1718</v>
      </c>
      <c r="N174" s="24"/>
      <c r="O174" s="19" t="str">
        <f t="shared" si="5"/>
        <v>1451.26</v>
      </c>
      <c r="P174" s="15">
        <f t="shared" si="6"/>
        <v>1451.26</v>
      </c>
      <c r="Q174" s="15"/>
      <c r="R174" s="3" t="s">
        <v>196</v>
      </c>
    </row>
    <row r="175" spans="8:18" ht="15.75" customHeight="1">
      <c r="H175" s="3">
        <v>172</v>
      </c>
      <c r="I175" s="3" t="s">
        <v>319</v>
      </c>
      <c r="J175" s="3" t="s">
        <v>217</v>
      </c>
      <c r="K175" s="22" t="s">
        <v>1519</v>
      </c>
      <c r="L175" s="3" t="s">
        <v>766</v>
      </c>
      <c r="M175" s="24" t="s">
        <v>1719</v>
      </c>
      <c r="N175" s="24"/>
      <c r="O175" s="19" t="str">
        <f t="shared" si="5"/>
        <v>1097.39</v>
      </c>
      <c r="P175" s="15">
        <f t="shared" si="6"/>
        <v>1097.3900000000001</v>
      </c>
      <c r="Q175" s="15"/>
      <c r="R175" s="3" t="s">
        <v>214</v>
      </c>
    </row>
    <row r="176" spans="8:18" ht="15.75" customHeight="1">
      <c r="H176" s="3">
        <v>173</v>
      </c>
      <c r="I176" s="3" t="s">
        <v>374</v>
      </c>
      <c r="J176" s="3" t="s">
        <v>217</v>
      </c>
      <c r="K176" s="22" t="s">
        <v>1520</v>
      </c>
      <c r="L176" s="3" t="s">
        <v>768</v>
      </c>
      <c r="M176" s="24" t="s">
        <v>1720</v>
      </c>
      <c r="N176" s="24"/>
      <c r="O176" s="19" t="str">
        <f t="shared" si="5"/>
        <v>402.12</v>
      </c>
      <c r="P176" s="15">
        <f t="shared" si="6"/>
        <v>402.12</v>
      </c>
      <c r="Q176" s="15"/>
      <c r="R176" s="3" t="s">
        <v>196</v>
      </c>
    </row>
    <row r="177" spans="8:18" ht="15.75" customHeight="1">
      <c r="H177" s="3">
        <v>174</v>
      </c>
      <c r="I177" s="3" t="s">
        <v>363</v>
      </c>
      <c r="J177" s="3" t="s">
        <v>217</v>
      </c>
      <c r="K177" s="22" t="s">
        <v>1521</v>
      </c>
      <c r="L177" s="3" t="s">
        <v>770</v>
      </c>
      <c r="M177" s="24" t="s">
        <v>1721</v>
      </c>
      <c r="N177" s="24"/>
      <c r="O177" s="19" t="str">
        <f t="shared" si="5"/>
        <v>540.01</v>
      </c>
      <c r="P177" s="15">
        <f t="shared" si="6"/>
        <v>540.01</v>
      </c>
      <c r="Q177" s="15"/>
      <c r="R177" s="3" t="s">
        <v>196</v>
      </c>
    </row>
    <row r="178" spans="8:18" ht="15.75" customHeight="1">
      <c r="H178" s="3">
        <v>175</v>
      </c>
      <c r="I178" s="3" t="s">
        <v>319</v>
      </c>
      <c r="J178" s="3" t="s">
        <v>217</v>
      </c>
      <c r="K178" s="22" t="s">
        <v>1522</v>
      </c>
      <c r="L178" s="3" t="s">
        <v>773</v>
      </c>
      <c r="M178" s="24" t="s">
        <v>1722</v>
      </c>
      <c r="N178" s="24"/>
      <c r="O178" s="19" t="str">
        <f t="shared" si="5"/>
        <v>270.94</v>
      </c>
      <c r="P178" s="15">
        <f t="shared" si="6"/>
        <v>270.94</v>
      </c>
      <c r="Q178" s="15"/>
      <c r="R178" s="3" t="s">
        <v>196</v>
      </c>
    </row>
    <row r="179" spans="8:18" ht="15.75" customHeight="1">
      <c r="H179" s="3">
        <v>176</v>
      </c>
      <c r="I179" s="3" t="s">
        <v>324</v>
      </c>
      <c r="J179" s="3" t="s">
        <v>217</v>
      </c>
      <c r="K179" s="22" t="s">
        <v>1523</v>
      </c>
      <c r="L179" s="3" t="s">
        <v>775</v>
      </c>
      <c r="M179" s="24" t="s">
        <v>1723</v>
      </c>
      <c r="N179" s="24"/>
      <c r="O179" s="19" t="str">
        <f t="shared" si="5"/>
        <v>598.4</v>
      </c>
      <c r="P179" s="15">
        <f t="shared" si="6"/>
        <v>598.4</v>
      </c>
      <c r="Q179" s="15"/>
      <c r="R179" s="3" t="s">
        <v>196</v>
      </c>
    </row>
    <row r="180" spans="8:18" ht="15.75" customHeight="1">
      <c r="H180" s="3">
        <v>177</v>
      </c>
      <c r="I180" s="3" t="s">
        <v>327</v>
      </c>
      <c r="J180" s="3" t="s">
        <v>217</v>
      </c>
      <c r="K180" s="22" t="s">
        <v>1524</v>
      </c>
      <c r="L180" s="3" t="s">
        <v>777</v>
      </c>
      <c r="M180" s="24" t="s">
        <v>1724</v>
      </c>
      <c r="N180" s="24"/>
      <c r="O180" s="19" t="str">
        <f t="shared" si="5"/>
        <v>493.96</v>
      </c>
      <c r="P180" s="15">
        <f t="shared" si="6"/>
        <v>493.96</v>
      </c>
      <c r="Q180" s="15"/>
      <c r="R180" s="3" t="s">
        <v>196</v>
      </c>
    </row>
    <row r="181" spans="8:18" ht="15.75" customHeight="1">
      <c r="H181" s="3">
        <v>178</v>
      </c>
      <c r="I181" s="3" t="s">
        <v>354</v>
      </c>
      <c r="J181" s="3" t="s">
        <v>217</v>
      </c>
      <c r="K181" s="22" t="s">
        <v>1525</v>
      </c>
      <c r="L181" s="3" t="s">
        <v>781</v>
      </c>
      <c r="M181" s="24" t="s">
        <v>1725</v>
      </c>
      <c r="N181" s="24"/>
      <c r="O181" s="19" t="str">
        <f t="shared" si="5"/>
        <v>234.89</v>
      </c>
      <c r="P181" s="15">
        <f t="shared" si="6"/>
        <v>234.89</v>
      </c>
      <c r="Q181" s="15"/>
      <c r="R181" s="3" t="s">
        <v>196</v>
      </c>
    </row>
    <row r="182" spans="8:18" ht="15.75" customHeight="1">
      <c r="H182" s="3">
        <v>179</v>
      </c>
      <c r="I182" s="3" t="s">
        <v>315</v>
      </c>
      <c r="J182" s="3" t="s">
        <v>217</v>
      </c>
      <c r="K182" s="22" t="s">
        <v>1526</v>
      </c>
      <c r="L182" s="3" t="s">
        <v>784</v>
      </c>
      <c r="M182" s="24" t="s">
        <v>1726</v>
      </c>
      <c r="N182" s="24"/>
      <c r="O182" s="19" t="str">
        <f t="shared" si="5"/>
        <v>210.71</v>
      </c>
      <c r="P182" s="15">
        <f t="shared" si="6"/>
        <v>210.71</v>
      </c>
      <c r="Q182" s="15"/>
      <c r="R182" s="3" t="s">
        <v>214</v>
      </c>
    </row>
    <row r="183" spans="8:18" ht="15.75" customHeight="1">
      <c r="H183" s="3">
        <v>180</v>
      </c>
      <c r="I183" s="3" t="s">
        <v>374</v>
      </c>
      <c r="J183" s="3" t="s">
        <v>217</v>
      </c>
      <c r="K183" s="22" t="s">
        <v>1527</v>
      </c>
      <c r="L183" s="3" t="s">
        <v>786</v>
      </c>
      <c r="M183" s="24" t="s">
        <v>1727</v>
      </c>
      <c r="N183" s="24"/>
      <c r="O183" s="19" t="str">
        <f t="shared" si="5"/>
        <v>729.62</v>
      </c>
      <c r="P183" s="15">
        <f t="shared" si="6"/>
        <v>729.62</v>
      </c>
      <c r="Q183" s="15"/>
      <c r="R183" s="3" t="s">
        <v>214</v>
      </c>
    </row>
    <row r="184" spans="8:18" ht="15.75" customHeight="1">
      <c r="H184" s="3">
        <v>181</v>
      </c>
      <c r="I184" s="3" t="s">
        <v>380</v>
      </c>
      <c r="J184" s="3" t="s">
        <v>217</v>
      </c>
      <c r="K184" s="22" t="s">
        <v>1528</v>
      </c>
      <c r="L184" s="3" t="s">
        <v>789</v>
      </c>
      <c r="M184" s="24" t="s">
        <v>1728</v>
      </c>
      <c r="N184" s="24"/>
      <c r="O184" s="19" t="str">
        <f t="shared" si="5"/>
        <v>155.68</v>
      </c>
      <c r="P184" s="15">
        <f t="shared" si="6"/>
        <v>155.68</v>
      </c>
      <c r="Q184" s="15"/>
      <c r="R184" s="3" t="s">
        <v>214</v>
      </c>
    </row>
    <row r="185" spans="8:18" ht="15.75" customHeight="1">
      <c r="H185" s="3">
        <v>182</v>
      </c>
      <c r="I185" s="3" t="s">
        <v>374</v>
      </c>
      <c r="J185" s="3" t="s">
        <v>217</v>
      </c>
      <c r="K185" s="22" t="s">
        <v>1529</v>
      </c>
      <c r="L185" s="3" t="s">
        <v>791</v>
      </c>
      <c r="M185" s="24" t="s">
        <v>1729</v>
      </c>
      <c r="N185" s="24"/>
      <c r="O185" s="19" t="str">
        <f t="shared" si="5"/>
        <v>1181.15</v>
      </c>
      <c r="P185" s="15">
        <f t="shared" si="6"/>
        <v>1181.1500000000001</v>
      </c>
      <c r="Q185" s="15"/>
      <c r="R185" s="3" t="s">
        <v>196</v>
      </c>
    </row>
    <row r="186" spans="8:18" ht="15.75" customHeight="1">
      <c r="H186" s="3">
        <v>183</v>
      </c>
      <c r="I186" s="3" t="s">
        <v>296</v>
      </c>
      <c r="J186" s="3" t="s">
        <v>217</v>
      </c>
      <c r="K186" s="22" t="s">
        <v>1530</v>
      </c>
      <c r="L186" s="3" t="s">
        <v>794</v>
      </c>
      <c r="M186" s="24" t="s">
        <v>1730</v>
      </c>
      <c r="N186" s="24"/>
      <c r="O186" s="19" t="str">
        <f t="shared" si="5"/>
        <v>914.13</v>
      </c>
      <c r="P186" s="15">
        <f t="shared" si="6"/>
        <v>914.13</v>
      </c>
      <c r="Q186" s="15"/>
      <c r="R186" s="3" t="s">
        <v>196</v>
      </c>
    </row>
    <row r="187" spans="8:18" ht="15.75" customHeight="1">
      <c r="H187" s="3">
        <v>184</v>
      </c>
      <c r="I187" s="3" t="s">
        <v>327</v>
      </c>
      <c r="J187" s="3" t="s">
        <v>217</v>
      </c>
      <c r="K187" s="22" t="s">
        <v>1531</v>
      </c>
      <c r="L187" s="3" t="s">
        <v>796</v>
      </c>
      <c r="M187" s="24" t="s">
        <v>1731</v>
      </c>
      <c r="N187" s="24"/>
      <c r="O187" s="19" t="str">
        <f t="shared" si="5"/>
        <v>718.54</v>
      </c>
      <c r="P187" s="15">
        <f t="shared" si="6"/>
        <v>718.54</v>
      </c>
      <c r="Q187" s="15"/>
      <c r="R187" s="3" t="s">
        <v>196</v>
      </c>
    </row>
    <row r="188" spans="8:18" ht="15.75" customHeight="1">
      <c r="H188" s="3">
        <v>185</v>
      </c>
      <c r="I188" s="3" t="s">
        <v>363</v>
      </c>
      <c r="J188" s="3" t="s">
        <v>217</v>
      </c>
      <c r="K188" s="22" t="s">
        <v>1532</v>
      </c>
      <c r="L188" s="3" t="s">
        <v>799</v>
      </c>
      <c r="M188" s="24" t="s">
        <v>1732</v>
      </c>
      <c r="N188" s="24"/>
      <c r="O188" s="19" t="str">
        <f t="shared" si="5"/>
        <v>1325.64</v>
      </c>
      <c r="P188" s="15">
        <f t="shared" si="6"/>
        <v>1325.64</v>
      </c>
      <c r="Q188" s="15"/>
      <c r="R188" s="3" t="s">
        <v>196</v>
      </c>
    </row>
    <row r="189" spans="8:18" ht="15.75" customHeight="1">
      <c r="H189" s="3">
        <v>186</v>
      </c>
      <c r="I189" s="3" t="s">
        <v>296</v>
      </c>
      <c r="J189" s="3" t="s">
        <v>217</v>
      </c>
      <c r="K189" s="22" t="s">
        <v>1533</v>
      </c>
      <c r="L189" s="3" t="s">
        <v>801</v>
      </c>
      <c r="M189" s="24" t="s">
        <v>1733</v>
      </c>
      <c r="N189" s="24"/>
      <c r="O189" s="19" t="str">
        <f t="shared" si="5"/>
        <v>1046.84</v>
      </c>
      <c r="P189" s="15">
        <f t="shared" si="6"/>
        <v>1046.8399999999999</v>
      </c>
      <c r="Q189" s="15"/>
      <c r="R189" s="3" t="s">
        <v>196</v>
      </c>
    </row>
    <row r="190" spans="8:18" ht="15.75" customHeight="1">
      <c r="H190" s="3">
        <v>187</v>
      </c>
      <c r="I190" s="3" t="s">
        <v>380</v>
      </c>
      <c r="J190" s="3" t="s">
        <v>217</v>
      </c>
      <c r="K190" s="22" t="s">
        <v>1534</v>
      </c>
      <c r="L190" s="3" t="s">
        <v>804</v>
      </c>
      <c r="M190" s="24" t="s">
        <v>1734</v>
      </c>
      <c r="N190" s="24"/>
      <c r="O190" s="19" t="str">
        <f t="shared" si="5"/>
        <v>1003.51</v>
      </c>
      <c r="P190" s="15">
        <f t="shared" si="6"/>
        <v>1003.51</v>
      </c>
      <c r="Q190" s="15"/>
      <c r="R190" s="3" t="s">
        <v>214</v>
      </c>
    </row>
    <row r="191" spans="8:18" ht="15.75" customHeight="1">
      <c r="H191" s="3">
        <v>188</v>
      </c>
      <c r="I191" s="3" t="s">
        <v>380</v>
      </c>
      <c r="J191" s="3" t="s">
        <v>217</v>
      </c>
      <c r="K191" s="22" t="s">
        <v>1535</v>
      </c>
      <c r="L191" s="3" t="s">
        <v>807</v>
      </c>
      <c r="M191" s="24" t="s">
        <v>1735</v>
      </c>
      <c r="N191" s="24"/>
      <c r="O191" s="19" t="str">
        <f t="shared" si="5"/>
        <v>1452.23</v>
      </c>
      <c r="P191" s="15">
        <f t="shared" si="6"/>
        <v>1452.23</v>
      </c>
      <c r="Q191" s="15"/>
      <c r="R191" s="3" t="s">
        <v>196</v>
      </c>
    </row>
    <row r="192" spans="8:18" ht="15.75" customHeight="1">
      <c r="H192" s="3">
        <v>189</v>
      </c>
      <c r="I192" s="3" t="s">
        <v>327</v>
      </c>
      <c r="J192" s="3" t="s">
        <v>217</v>
      </c>
      <c r="K192" s="22" t="s">
        <v>1536</v>
      </c>
      <c r="L192" s="3" t="s">
        <v>810</v>
      </c>
      <c r="M192" s="24" t="s">
        <v>1736</v>
      </c>
      <c r="N192" s="24"/>
      <c r="O192" s="19" t="str">
        <f t="shared" si="5"/>
        <v>501.62</v>
      </c>
      <c r="P192" s="15">
        <f t="shared" si="6"/>
        <v>501.62</v>
      </c>
      <c r="Q192" s="15"/>
      <c r="R192" s="3" t="s">
        <v>214</v>
      </c>
    </row>
    <row r="193" spans="8:18" ht="15.75" customHeight="1">
      <c r="H193" s="3">
        <v>190</v>
      </c>
      <c r="I193" s="3" t="s">
        <v>342</v>
      </c>
      <c r="J193" s="3" t="s">
        <v>217</v>
      </c>
      <c r="K193" s="22" t="s">
        <v>1537</v>
      </c>
      <c r="L193" s="3" t="s">
        <v>812</v>
      </c>
      <c r="M193" s="24" t="s">
        <v>1737</v>
      </c>
      <c r="N193" s="24"/>
      <c r="O193" s="19" t="str">
        <f t="shared" si="5"/>
        <v>70.01</v>
      </c>
      <c r="P193" s="15">
        <f t="shared" si="6"/>
        <v>70.010000000000005</v>
      </c>
      <c r="Q193" s="15"/>
      <c r="R193" s="3" t="s">
        <v>214</v>
      </c>
    </row>
    <row r="194" spans="8:18" ht="15.75" customHeight="1">
      <c r="H194" s="3">
        <v>191</v>
      </c>
      <c r="I194" s="3" t="s">
        <v>380</v>
      </c>
      <c r="J194" s="3" t="s">
        <v>217</v>
      </c>
      <c r="K194" s="22" t="s">
        <v>1538</v>
      </c>
      <c r="L194" s="3" t="s">
        <v>814</v>
      </c>
      <c r="M194" s="24" t="s">
        <v>1738</v>
      </c>
      <c r="N194" s="24"/>
      <c r="O194" s="19" t="str">
        <f t="shared" si="5"/>
        <v>896.01</v>
      </c>
      <c r="P194" s="15">
        <f t="shared" si="6"/>
        <v>896.01</v>
      </c>
      <c r="Q194" s="15"/>
      <c r="R194" s="3" t="s">
        <v>196</v>
      </c>
    </row>
    <row r="195" spans="8:18" ht="15.75" customHeight="1">
      <c r="H195" s="3">
        <v>192</v>
      </c>
      <c r="I195" s="3" t="s">
        <v>363</v>
      </c>
      <c r="J195" s="3" t="s">
        <v>217</v>
      </c>
      <c r="K195" s="22" t="s">
        <v>1539</v>
      </c>
      <c r="L195" s="3" t="s">
        <v>817</v>
      </c>
      <c r="M195" s="24" t="s">
        <v>1739</v>
      </c>
      <c r="N195" s="24"/>
      <c r="O195" s="19" t="str">
        <f t="shared" si="5"/>
        <v>218.97</v>
      </c>
      <c r="P195" s="15">
        <f t="shared" si="6"/>
        <v>218.97</v>
      </c>
      <c r="Q195" s="15"/>
      <c r="R195" s="3" t="s">
        <v>214</v>
      </c>
    </row>
    <row r="196" spans="8:18" ht="15.75" customHeight="1">
      <c r="H196" s="3">
        <v>193</v>
      </c>
      <c r="I196" s="3" t="s">
        <v>327</v>
      </c>
      <c r="J196" s="3" t="s">
        <v>217</v>
      </c>
      <c r="K196" s="22" t="s">
        <v>1540</v>
      </c>
      <c r="L196" s="3" t="s">
        <v>820</v>
      </c>
      <c r="M196" s="24" t="s">
        <v>1740</v>
      </c>
      <c r="N196" s="24"/>
      <c r="O196" s="19" t="str">
        <f t="shared" si="5"/>
        <v>1152.52</v>
      </c>
      <c r="P196" s="15">
        <f t="shared" si="6"/>
        <v>1152.52</v>
      </c>
      <c r="Q196" s="15"/>
      <c r="R196" s="3" t="s">
        <v>214</v>
      </c>
    </row>
    <row r="197" spans="8:18" ht="15.75" customHeight="1">
      <c r="H197" s="3">
        <v>194</v>
      </c>
      <c r="I197" s="3" t="s">
        <v>319</v>
      </c>
      <c r="J197" s="3" t="s">
        <v>217</v>
      </c>
      <c r="K197" s="22" t="s">
        <v>1541</v>
      </c>
      <c r="L197" s="3" t="s">
        <v>822</v>
      </c>
      <c r="M197" s="24" t="s">
        <v>1741</v>
      </c>
      <c r="N197" s="24"/>
      <c r="O197" s="19" t="str">
        <f t="shared" ref="O197:O203" si="7">LEFT(L197,LEN(L197)-2)</f>
        <v>310.22</v>
      </c>
      <c r="P197" s="15">
        <f t="shared" ref="P197:P203" si="8">ROUND(O197,2)</f>
        <v>310.22000000000003</v>
      </c>
      <c r="Q197" s="15"/>
      <c r="R197" s="3" t="s">
        <v>214</v>
      </c>
    </row>
    <row r="198" spans="8:18" ht="15.75" customHeight="1">
      <c r="H198" s="3">
        <v>195</v>
      </c>
      <c r="I198" s="3" t="s">
        <v>363</v>
      </c>
      <c r="J198" s="3" t="s">
        <v>217</v>
      </c>
      <c r="K198" s="22" t="s">
        <v>1542</v>
      </c>
      <c r="L198" s="3" t="s">
        <v>825</v>
      </c>
      <c r="M198" s="24" t="s">
        <v>1742</v>
      </c>
      <c r="N198" s="24"/>
      <c r="O198" s="19" t="str">
        <f t="shared" si="7"/>
        <v>1140.37</v>
      </c>
      <c r="P198" s="15">
        <f t="shared" si="8"/>
        <v>1140.3699999999999</v>
      </c>
      <c r="Q198" s="15"/>
      <c r="R198" s="3" t="s">
        <v>196</v>
      </c>
    </row>
    <row r="199" spans="8:18" ht="15.75" customHeight="1">
      <c r="H199" s="3">
        <v>196</v>
      </c>
      <c r="I199" s="3" t="s">
        <v>342</v>
      </c>
      <c r="J199" s="3" t="s">
        <v>217</v>
      </c>
      <c r="K199" s="22" t="s">
        <v>1543</v>
      </c>
      <c r="L199" s="3" t="s">
        <v>827</v>
      </c>
      <c r="M199" s="24" t="s">
        <v>1743</v>
      </c>
      <c r="N199" s="24"/>
      <c r="O199" s="19" t="str">
        <f t="shared" si="7"/>
        <v>190.98</v>
      </c>
      <c r="P199" s="15">
        <f t="shared" si="8"/>
        <v>190.98</v>
      </c>
      <c r="Q199" s="15"/>
      <c r="R199" s="3" t="s">
        <v>196</v>
      </c>
    </row>
    <row r="200" spans="8:18" ht="15.75" customHeight="1">
      <c r="H200" s="3">
        <v>197</v>
      </c>
      <c r="I200" s="3" t="s">
        <v>380</v>
      </c>
      <c r="J200" s="3" t="s">
        <v>217</v>
      </c>
      <c r="K200" s="22" t="s">
        <v>1544</v>
      </c>
      <c r="L200" s="3" t="s">
        <v>830</v>
      </c>
      <c r="M200" s="24" t="s">
        <v>1744</v>
      </c>
      <c r="N200" s="24"/>
      <c r="O200" s="19" t="str">
        <f t="shared" si="7"/>
        <v>1195.04</v>
      </c>
      <c r="P200" s="15">
        <f t="shared" si="8"/>
        <v>1195.04</v>
      </c>
      <c r="Q200" s="15"/>
      <c r="R200" s="3" t="s">
        <v>196</v>
      </c>
    </row>
    <row r="201" spans="8:18" ht="15.75" customHeight="1">
      <c r="H201" s="3">
        <v>198</v>
      </c>
      <c r="I201" s="3" t="s">
        <v>380</v>
      </c>
      <c r="J201" s="3" t="s">
        <v>217</v>
      </c>
      <c r="K201" s="22" t="s">
        <v>1545</v>
      </c>
      <c r="L201" s="3" t="s">
        <v>832</v>
      </c>
      <c r="M201" s="24" t="s">
        <v>1745</v>
      </c>
      <c r="N201" s="24"/>
      <c r="O201" s="19" t="str">
        <f t="shared" si="7"/>
        <v>227.92</v>
      </c>
      <c r="P201" s="15">
        <f t="shared" si="8"/>
        <v>227.92</v>
      </c>
      <c r="Q201" s="15"/>
      <c r="R201" s="3" t="s">
        <v>214</v>
      </c>
    </row>
    <row r="202" spans="8:18" ht="15.75" customHeight="1">
      <c r="H202" s="3">
        <v>199</v>
      </c>
      <c r="I202" s="3" t="s">
        <v>374</v>
      </c>
      <c r="J202" s="3" t="s">
        <v>217</v>
      </c>
      <c r="K202" s="22" t="s">
        <v>1546</v>
      </c>
      <c r="L202" s="3" t="s">
        <v>835</v>
      </c>
      <c r="M202" s="24" t="s">
        <v>1746</v>
      </c>
      <c r="N202" s="24"/>
      <c r="O202" s="19" t="str">
        <f t="shared" si="7"/>
        <v>790.48</v>
      </c>
      <c r="P202" s="15">
        <f t="shared" si="8"/>
        <v>790.48</v>
      </c>
      <c r="Q202" s="15"/>
      <c r="R202" s="3" t="s">
        <v>214</v>
      </c>
    </row>
    <row r="203" spans="8:18" ht="15.75" customHeight="1">
      <c r="H203" s="3">
        <v>200</v>
      </c>
      <c r="I203" s="3" t="s">
        <v>296</v>
      </c>
      <c r="J203" s="3" t="s">
        <v>217</v>
      </c>
      <c r="K203" s="22" t="s">
        <v>1547</v>
      </c>
      <c r="L203" s="3" t="s">
        <v>839</v>
      </c>
      <c r="M203" s="24" t="s">
        <v>1747</v>
      </c>
      <c r="N203" s="24"/>
      <c r="O203" s="19" t="str">
        <f t="shared" si="7"/>
        <v>1108.81</v>
      </c>
      <c r="P203" s="15">
        <f t="shared" si="8"/>
        <v>1108.81</v>
      </c>
      <c r="Q203" s="15"/>
      <c r="R203" s="3" t="s">
        <v>196</v>
      </c>
    </row>
    <row r="204" spans="8:18" ht="15.75" customHeight="1">
      <c r="Q204" s="12"/>
    </row>
    <row r="205" spans="8:18" ht="15.75" customHeight="1">
      <c r="Q205" s="12"/>
    </row>
    <row r="206" spans="8:18" ht="15.75" customHeight="1">
      <c r="Q206" s="12"/>
    </row>
    <row r="207" spans="8:18" ht="15.75" customHeight="1">
      <c r="Q207" s="12"/>
    </row>
    <row r="208" spans="8:18" ht="15.75" customHeight="1">
      <c r="Q208" s="12"/>
    </row>
    <row r="209" spans="17:17" ht="15.75" customHeight="1">
      <c r="Q209" s="12"/>
    </row>
    <row r="210" spans="17:17" ht="15.75" customHeight="1">
      <c r="Q210" s="12"/>
    </row>
    <row r="211" spans="17:17" ht="15.75" customHeight="1">
      <c r="Q211" s="12"/>
    </row>
    <row r="212" spans="17:17" ht="15.75" customHeight="1">
      <c r="Q212" s="12"/>
    </row>
    <row r="213" spans="17:17" ht="15.75" customHeight="1">
      <c r="Q213" s="12"/>
    </row>
    <row r="214" spans="17:17" ht="15.75" customHeight="1">
      <c r="Q214" s="12"/>
    </row>
    <row r="215" spans="17:17" ht="15.75" customHeight="1">
      <c r="Q215" s="12"/>
    </row>
    <row r="216" spans="17:17" ht="15.75" customHeight="1">
      <c r="Q216" s="12"/>
    </row>
    <row r="217" spans="17:17" ht="15.75" customHeight="1">
      <c r="Q217" s="12"/>
    </row>
    <row r="218" spans="17:17" ht="15.75" customHeight="1">
      <c r="Q218" s="12"/>
    </row>
    <row r="219" spans="17:17" ht="15.75" customHeight="1">
      <c r="Q219" s="12"/>
    </row>
    <row r="220" spans="17:17" ht="15.75" customHeight="1">
      <c r="Q220" s="12"/>
    </row>
    <row r="221" spans="17:17" ht="15.75" customHeight="1">
      <c r="Q221" s="12"/>
    </row>
    <row r="222" spans="17:17" ht="15.75" customHeight="1">
      <c r="Q222" s="12"/>
    </row>
    <row r="223" spans="17:17" ht="15.75" customHeight="1">
      <c r="Q223" s="12"/>
    </row>
    <row r="224" spans="17:17" ht="15.75" customHeight="1">
      <c r="Q224" s="12"/>
    </row>
    <row r="225" spans="17:17" ht="15.75" customHeight="1">
      <c r="Q225" s="12"/>
    </row>
    <row r="226" spans="17:17" ht="15.75" customHeight="1">
      <c r="Q226" s="12"/>
    </row>
    <row r="227" spans="17:17" ht="15.75" customHeight="1">
      <c r="Q227" s="12"/>
    </row>
    <row r="228" spans="17:17" ht="15.75" customHeight="1">
      <c r="Q228" s="12"/>
    </row>
    <row r="229" spans="17:17" ht="15.75" customHeight="1">
      <c r="Q229" s="12"/>
    </row>
    <row r="230" spans="17:17" ht="15.75" customHeight="1">
      <c r="Q230" s="12"/>
    </row>
    <row r="231" spans="17:17" ht="15.75" customHeight="1">
      <c r="Q231" s="12"/>
    </row>
    <row r="232" spans="17:17" ht="15.75" customHeight="1">
      <c r="Q232" s="12"/>
    </row>
    <row r="233" spans="17:17" ht="15.75" customHeight="1">
      <c r="Q233" s="12"/>
    </row>
    <row r="234" spans="17:17" ht="15.75" customHeight="1">
      <c r="Q234" s="12"/>
    </row>
    <row r="235" spans="17:17" ht="15.75" customHeight="1">
      <c r="Q235" s="12"/>
    </row>
    <row r="236" spans="17:17" ht="15.75" customHeight="1">
      <c r="Q236" s="12"/>
    </row>
    <row r="237" spans="17:17" ht="15.75" customHeight="1">
      <c r="Q237" s="12"/>
    </row>
    <row r="238" spans="17:17" ht="15.75" customHeight="1">
      <c r="Q238" s="12"/>
    </row>
    <row r="239" spans="17:17" ht="15.75" customHeight="1">
      <c r="Q239" s="12"/>
    </row>
    <row r="240" spans="17:17" ht="15.75" customHeight="1">
      <c r="Q240" s="12"/>
    </row>
    <row r="241" spans="17:17" ht="15.75" customHeight="1">
      <c r="Q241" s="12"/>
    </row>
    <row r="242" spans="17:17" ht="15.75" customHeight="1">
      <c r="Q242" s="12"/>
    </row>
    <row r="243" spans="17:17" ht="15.75" customHeight="1">
      <c r="Q243" s="12"/>
    </row>
    <row r="244" spans="17:17" ht="15.75" customHeight="1">
      <c r="Q244" s="12"/>
    </row>
    <row r="245" spans="17:17" ht="15.75" customHeight="1">
      <c r="Q245" s="12"/>
    </row>
    <row r="246" spans="17:17" ht="15.75" customHeight="1">
      <c r="Q246" s="12"/>
    </row>
    <row r="247" spans="17:17" ht="15.75" customHeight="1">
      <c r="Q247" s="12"/>
    </row>
    <row r="248" spans="17:17" ht="15.75" customHeight="1">
      <c r="Q248" s="12"/>
    </row>
    <row r="249" spans="17:17" ht="15.75" customHeight="1">
      <c r="Q249" s="12"/>
    </row>
    <row r="250" spans="17:17" ht="15.75" customHeight="1">
      <c r="Q250" s="12"/>
    </row>
    <row r="251" spans="17:17" ht="15.75" customHeight="1">
      <c r="Q251" s="12"/>
    </row>
    <row r="252" spans="17:17" ht="15.75" customHeight="1">
      <c r="Q252" s="12"/>
    </row>
    <row r="253" spans="17:17" ht="15.75" customHeight="1">
      <c r="Q253" s="12"/>
    </row>
    <row r="254" spans="17:17" ht="15.75" customHeight="1">
      <c r="Q254" s="12"/>
    </row>
    <row r="255" spans="17:17" ht="15.75" customHeight="1">
      <c r="Q255" s="12"/>
    </row>
    <row r="256" spans="17:17" ht="15.75" customHeight="1">
      <c r="Q256" s="12"/>
    </row>
    <row r="257" spans="17:17" ht="15.75" customHeight="1">
      <c r="Q257" s="12"/>
    </row>
    <row r="258" spans="17:17" ht="15.75" customHeight="1">
      <c r="Q258" s="12"/>
    </row>
    <row r="259" spans="17:17" ht="15.75" customHeight="1">
      <c r="Q259" s="12"/>
    </row>
    <row r="260" spans="17:17" ht="15.75" customHeight="1">
      <c r="Q260" s="12"/>
    </row>
    <row r="261" spans="17:17" ht="15.75" customHeight="1">
      <c r="Q261" s="12"/>
    </row>
    <row r="262" spans="17:17" ht="15.75" customHeight="1">
      <c r="Q262" s="12"/>
    </row>
    <row r="263" spans="17:17" ht="15.75" customHeight="1">
      <c r="Q263" s="12"/>
    </row>
    <row r="264" spans="17:17" ht="15.75" customHeight="1">
      <c r="Q264" s="12"/>
    </row>
    <row r="265" spans="17:17" ht="15.75" customHeight="1">
      <c r="Q265" s="12"/>
    </row>
    <row r="266" spans="17:17" ht="15.75" customHeight="1">
      <c r="Q266" s="12"/>
    </row>
    <row r="267" spans="17:17" ht="15.75" customHeight="1">
      <c r="Q267" s="12"/>
    </row>
    <row r="268" spans="17:17" ht="15.75" customHeight="1">
      <c r="Q268" s="12"/>
    </row>
    <row r="269" spans="17:17" ht="15.75" customHeight="1">
      <c r="Q269" s="12"/>
    </row>
    <row r="270" spans="17:17" ht="15.75" customHeight="1">
      <c r="Q270" s="12"/>
    </row>
    <row r="271" spans="17:17" ht="15.75" customHeight="1">
      <c r="Q271" s="12"/>
    </row>
    <row r="272" spans="17:17" ht="15.75" customHeight="1">
      <c r="Q272" s="12"/>
    </row>
    <row r="273" spans="17:17" ht="15.75" customHeight="1">
      <c r="Q273" s="12"/>
    </row>
    <row r="274" spans="17:17" ht="15.75" customHeight="1">
      <c r="Q274" s="12"/>
    </row>
    <row r="275" spans="17:17" ht="15.75" customHeight="1">
      <c r="Q275" s="12"/>
    </row>
    <row r="276" spans="17:17" ht="15.75" customHeight="1">
      <c r="Q276" s="12"/>
    </row>
    <row r="277" spans="17:17" ht="15.75" customHeight="1">
      <c r="Q277" s="12"/>
    </row>
    <row r="278" spans="17:17" ht="15.75" customHeight="1">
      <c r="Q278" s="12"/>
    </row>
    <row r="279" spans="17:17" ht="15.75" customHeight="1">
      <c r="Q279" s="12"/>
    </row>
    <row r="280" spans="17:17" ht="15.75" customHeight="1">
      <c r="Q280" s="12"/>
    </row>
    <row r="281" spans="17:17" ht="15.75" customHeight="1">
      <c r="Q281" s="12"/>
    </row>
    <row r="282" spans="17:17" ht="15.75" customHeight="1">
      <c r="Q282" s="12"/>
    </row>
    <row r="283" spans="17:17" ht="15.75" customHeight="1">
      <c r="Q283" s="12"/>
    </row>
    <row r="284" spans="17:17" ht="15.75" customHeight="1">
      <c r="Q284" s="12"/>
    </row>
    <row r="285" spans="17:17" ht="15.75" customHeight="1">
      <c r="Q285" s="12"/>
    </row>
    <row r="286" spans="17:17" ht="15.75" customHeight="1">
      <c r="Q286" s="12"/>
    </row>
    <row r="287" spans="17:17" ht="15.75" customHeight="1">
      <c r="Q287" s="12"/>
    </row>
    <row r="288" spans="17:17" ht="15.75" customHeight="1">
      <c r="Q288" s="12"/>
    </row>
    <row r="289" spans="17:17" ht="15.75" customHeight="1">
      <c r="Q289" s="12"/>
    </row>
    <row r="290" spans="17:17" ht="15.75" customHeight="1">
      <c r="Q290" s="12"/>
    </row>
    <row r="291" spans="17:17" ht="15.75" customHeight="1">
      <c r="Q291" s="12"/>
    </row>
    <row r="292" spans="17:17" ht="15.75" customHeight="1">
      <c r="Q292" s="12"/>
    </row>
    <row r="293" spans="17:17" ht="15.75" customHeight="1">
      <c r="Q293" s="12"/>
    </row>
    <row r="294" spans="17:17" ht="15.75" customHeight="1">
      <c r="Q294" s="12"/>
    </row>
    <row r="295" spans="17:17" ht="15.75" customHeight="1">
      <c r="Q295" s="12"/>
    </row>
    <row r="296" spans="17:17" ht="15.75" customHeight="1">
      <c r="Q296" s="12"/>
    </row>
    <row r="297" spans="17:17" ht="15.75" customHeight="1">
      <c r="Q297" s="12"/>
    </row>
    <row r="298" spans="17:17" ht="15.75" customHeight="1">
      <c r="Q298" s="12"/>
    </row>
    <row r="299" spans="17:17" ht="15.75" customHeight="1">
      <c r="Q299" s="12"/>
    </row>
    <row r="300" spans="17:17" ht="15.75" customHeight="1">
      <c r="Q300" s="12"/>
    </row>
    <row r="301" spans="17:17" ht="15.75" customHeight="1">
      <c r="Q301" s="12"/>
    </row>
    <row r="302" spans="17:17" ht="15.75" customHeight="1">
      <c r="Q302" s="12"/>
    </row>
    <row r="303" spans="17:17" ht="15.75" customHeight="1">
      <c r="Q303" s="12"/>
    </row>
    <row r="304" spans="17:17" ht="15.75" customHeight="1">
      <c r="Q304" s="12"/>
    </row>
    <row r="305" spans="17:17" ht="15.75" customHeight="1">
      <c r="Q305" s="12"/>
    </row>
    <row r="306" spans="17:17" ht="15.75" customHeight="1">
      <c r="Q306" s="12"/>
    </row>
    <row r="307" spans="17:17" ht="15.75" customHeight="1">
      <c r="Q307" s="12"/>
    </row>
    <row r="308" spans="17:17" ht="15.75" customHeight="1">
      <c r="Q308" s="12"/>
    </row>
    <row r="309" spans="17:17" ht="15.75" customHeight="1">
      <c r="Q309" s="12"/>
    </row>
    <row r="310" spans="17:17" ht="15.75" customHeight="1">
      <c r="Q310" s="12"/>
    </row>
    <row r="311" spans="17:17" ht="15.75" customHeight="1">
      <c r="Q311" s="12"/>
    </row>
    <row r="312" spans="17:17" ht="15.75" customHeight="1">
      <c r="Q312" s="12"/>
    </row>
    <row r="313" spans="17:17" ht="15.75" customHeight="1">
      <c r="Q313" s="12"/>
    </row>
    <row r="314" spans="17:17" ht="15.75" customHeight="1">
      <c r="Q314" s="12"/>
    </row>
    <row r="315" spans="17:17" ht="15.75" customHeight="1">
      <c r="Q315" s="12"/>
    </row>
    <row r="316" spans="17:17" ht="15.75" customHeight="1">
      <c r="Q316" s="12"/>
    </row>
    <row r="317" spans="17:17" ht="15.75" customHeight="1">
      <c r="Q317" s="12"/>
    </row>
    <row r="318" spans="17:17" ht="15.75" customHeight="1">
      <c r="Q318" s="12"/>
    </row>
    <row r="319" spans="17:17" ht="15.75" customHeight="1">
      <c r="Q319" s="12"/>
    </row>
    <row r="320" spans="17:17" ht="15.75" customHeight="1">
      <c r="Q320" s="12"/>
    </row>
    <row r="321" spans="17:17" ht="15.75" customHeight="1">
      <c r="Q321" s="12"/>
    </row>
    <row r="322" spans="17:17" ht="15.75" customHeight="1">
      <c r="Q322" s="12"/>
    </row>
    <row r="323" spans="17:17" ht="15.75" customHeight="1">
      <c r="Q323" s="12"/>
    </row>
    <row r="324" spans="17:17" ht="15.75" customHeight="1">
      <c r="Q324" s="12"/>
    </row>
    <row r="325" spans="17:17" ht="15.75" customHeight="1">
      <c r="Q325" s="12"/>
    </row>
    <row r="326" spans="17:17" ht="15.75" customHeight="1">
      <c r="Q326" s="12"/>
    </row>
    <row r="327" spans="17:17" ht="15.75" customHeight="1">
      <c r="Q327" s="12"/>
    </row>
    <row r="328" spans="17:17" ht="15.75" customHeight="1">
      <c r="Q328" s="12"/>
    </row>
    <row r="329" spans="17:17" ht="15.75" customHeight="1">
      <c r="Q329" s="12"/>
    </row>
    <row r="330" spans="17:17" ht="15.75" customHeight="1">
      <c r="Q330" s="12"/>
    </row>
    <row r="331" spans="17:17" ht="15.75" customHeight="1">
      <c r="Q331" s="12"/>
    </row>
    <row r="332" spans="17:17" ht="15.75" customHeight="1">
      <c r="Q332" s="12"/>
    </row>
    <row r="333" spans="17:17" ht="15.75" customHeight="1">
      <c r="Q333" s="12"/>
    </row>
    <row r="334" spans="17:17" ht="15.75" customHeight="1">
      <c r="Q334" s="12"/>
    </row>
    <row r="335" spans="17:17" ht="15.75" customHeight="1">
      <c r="Q335" s="12"/>
    </row>
    <row r="336" spans="17:17" ht="15.75" customHeight="1">
      <c r="Q336" s="12"/>
    </row>
    <row r="337" spans="17:17" ht="15.75" customHeight="1">
      <c r="Q337" s="12"/>
    </row>
    <row r="338" spans="17:17" ht="15.75" customHeight="1">
      <c r="Q338" s="12"/>
    </row>
    <row r="339" spans="17:17" ht="15.75" customHeight="1">
      <c r="Q339" s="12"/>
    </row>
    <row r="340" spans="17:17" ht="15.75" customHeight="1">
      <c r="Q340" s="12"/>
    </row>
    <row r="341" spans="17:17" ht="15.75" customHeight="1">
      <c r="Q341" s="12"/>
    </row>
    <row r="342" spans="17:17" ht="15.75" customHeight="1">
      <c r="Q342" s="12"/>
    </row>
    <row r="343" spans="17:17" ht="15.75" customHeight="1">
      <c r="Q343" s="12"/>
    </row>
    <row r="344" spans="17:17" ht="15.75" customHeight="1">
      <c r="Q344" s="12"/>
    </row>
    <row r="345" spans="17:17" ht="15.75" customHeight="1">
      <c r="Q345" s="12"/>
    </row>
    <row r="346" spans="17:17" ht="15.75" customHeight="1">
      <c r="Q346" s="12"/>
    </row>
    <row r="347" spans="17:17" ht="15.75" customHeight="1">
      <c r="Q347" s="12"/>
    </row>
    <row r="348" spans="17:17" ht="15.75" customHeight="1">
      <c r="Q348" s="12"/>
    </row>
    <row r="349" spans="17:17" ht="15.75" customHeight="1">
      <c r="Q349" s="12"/>
    </row>
    <row r="350" spans="17:17" ht="15.75" customHeight="1">
      <c r="Q350" s="12"/>
    </row>
    <row r="351" spans="17:17" ht="15.75" customHeight="1">
      <c r="Q351" s="12"/>
    </row>
    <row r="352" spans="17:17" ht="15.75" customHeight="1">
      <c r="Q352" s="12"/>
    </row>
    <row r="353" spans="17:17" ht="15.75" customHeight="1">
      <c r="Q353" s="12"/>
    </row>
    <row r="354" spans="17:17" ht="15.75" customHeight="1">
      <c r="Q354" s="12"/>
    </row>
    <row r="355" spans="17:17" ht="15.75" customHeight="1">
      <c r="Q355" s="12"/>
    </row>
    <row r="356" spans="17:17" ht="15.75" customHeight="1">
      <c r="Q356" s="12"/>
    </row>
    <row r="357" spans="17:17" ht="15.75" customHeight="1">
      <c r="Q357" s="12"/>
    </row>
    <row r="358" spans="17:17" ht="15.75" customHeight="1">
      <c r="Q358" s="12"/>
    </row>
    <row r="359" spans="17:17" ht="15.75" customHeight="1">
      <c r="Q359" s="12"/>
    </row>
    <row r="360" spans="17:17" ht="15.75" customHeight="1">
      <c r="Q360" s="12"/>
    </row>
    <row r="361" spans="17:17" ht="15.75" customHeight="1">
      <c r="Q361" s="12"/>
    </row>
    <row r="362" spans="17:17" ht="15.75" customHeight="1">
      <c r="Q362" s="12"/>
    </row>
    <row r="363" spans="17:17" ht="15.75" customHeight="1">
      <c r="Q363" s="12"/>
    </row>
    <row r="364" spans="17:17" ht="15.75" customHeight="1">
      <c r="Q364" s="12"/>
    </row>
    <row r="365" spans="17:17" ht="15.75" customHeight="1">
      <c r="Q365" s="12"/>
    </row>
    <row r="366" spans="17:17" ht="15.75" customHeight="1">
      <c r="Q366" s="12"/>
    </row>
    <row r="367" spans="17:17" ht="15.75" customHeight="1">
      <c r="Q367" s="12"/>
    </row>
    <row r="368" spans="17:17" ht="15.75" customHeight="1">
      <c r="Q368" s="12"/>
    </row>
    <row r="369" spans="17:17" ht="15.75" customHeight="1">
      <c r="Q369" s="12"/>
    </row>
    <row r="370" spans="17:17" ht="15.75" customHeight="1">
      <c r="Q370" s="12"/>
    </row>
    <row r="371" spans="17:17" ht="15.75" customHeight="1">
      <c r="Q371" s="12"/>
    </row>
    <row r="372" spans="17:17" ht="15.75" customHeight="1">
      <c r="Q372" s="12"/>
    </row>
    <row r="373" spans="17:17" ht="15.75" customHeight="1">
      <c r="Q373" s="12"/>
    </row>
    <row r="374" spans="17:17" ht="15.75" customHeight="1">
      <c r="Q374" s="12"/>
    </row>
    <row r="375" spans="17:17" ht="15.75" customHeight="1">
      <c r="Q375" s="12"/>
    </row>
    <row r="376" spans="17:17" ht="15.75" customHeight="1">
      <c r="Q376" s="12"/>
    </row>
    <row r="377" spans="17:17" ht="15.75" customHeight="1">
      <c r="Q377" s="12"/>
    </row>
    <row r="378" spans="17:17" ht="15.75" customHeight="1">
      <c r="Q378" s="12"/>
    </row>
    <row r="379" spans="17:17" ht="15.75" customHeight="1">
      <c r="Q379" s="12"/>
    </row>
    <row r="380" spans="17:17" ht="15.75" customHeight="1">
      <c r="Q380" s="12"/>
    </row>
    <row r="381" spans="17:17" ht="15.75" customHeight="1">
      <c r="Q381" s="12"/>
    </row>
    <row r="382" spans="17:17" ht="15.75" customHeight="1">
      <c r="Q382" s="12"/>
    </row>
    <row r="383" spans="17:17" ht="15.75" customHeight="1">
      <c r="Q383" s="12"/>
    </row>
    <row r="384" spans="17:17" ht="15.75" customHeight="1">
      <c r="Q384" s="12"/>
    </row>
    <row r="385" spans="17:17" ht="15.75" customHeight="1">
      <c r="Q385" s="12"/>
    </row>
    <row r="386" spans="17:17" ht="15.75" customHeight="1">
      <c r="Q386" s="12"/>
    </row>
    <row r="387" spans="17:17" ht="15.75" customHeight="1">
      <c r="Q387" s="12"/>
    </row>
    <row r="388" spans="17:17" ht="15.75" customHeight="1">
      <c r="Q388" s="12"/>
    </row>
    <row r="389" spans="17:17" ht="15.75" customHeight="1">
      <c r="Q389" s="12"/>
    </row>
    <row r="390" spans="17:17" ht="15.75" customHeight="1">
      <c r="Q390" s="12"/>
    </row>
    <row r="391" spans="17:17" ht="15.75" customHeight="1">
      <c r="Q391" s="12"/>
    </row>
    <row r="392" spans="17:17" ht="15.75" customHeight="1">
      <c r="Q392" s="12"/>
    </row>
    <row r="393" spans="17:17" ht="15.75" customHeight="1">
      <c r="Q393" s="12"/>
    </row>
    <row r="394" spans="17:17" ht="15.75" customHeight="1">
      <c r="Q394" s="12"/>
    </row>
    <row r="395" spans="17:17" ht="15.75" customHeight="1">
      <c r="Q395" s="12"/>
    </row>
    <row r="396" spans="17:17" ht="15.75" customHeight="1">
      <c r="Q396" s="12"/>
    </row>
    <row r="397" spans="17:17" ht="15.75" customHeight="1">
      <c r="Q397" s="12"/>
    </row>
    <row r="398" spans="17:17" ht="15.75" customHeight="1">
      <c r="Q398" s="12"/>
    </row>
    <row r="399" spans="17:17" ht="15.75" customHeight="1">
      <c r="Q399" s="12"/>
    </row>
    <row r="400" spans="17:17" ht="15.75" customHeight="1">
      <c r="Q400" s="12"/>
    </row>
    <row r="401" spans="17:17" ht="15.75" customHeight="1">
      <c r="Q401" s="12"/>
    </row>
    <row r="402" spans="17:17" ht="15.75" customHeight="1">
      <c r="Q402" s="12"/>
    </row>
    <row r="403" spans="17:17" ht="15.75" customHeight="1">
      <c r="Q403" s="12"/>
    </row>
    <row r="404" spans="17:17" ht="15.75" customHeight="1">
      <c r="Q404" s="12"/>
    </row>
    <row r="405" spans="17:17" ht="15.75" customHeight="1">
      <c r="Q405" s="12"/>
    </row>
    <row r="406" spans="17:17" ht="15.75" customHeight="1">
      <c r="Q406" s="12"/>
    </row>
    <row r="407" spans="17:17" ht="15.75" customHeight="1">
      <c r="Q407" s="12"/>
    </row>
    <row r="408" spans="17:17" ht="15.75" customHeight="1">
      <c r="Q408" s="12"/>
    </row>
    <row r="409" spans="17:17" ht="15.75" customHeight="1">
      <c r="Q409" s="12"/>
    </row>
    <row r="410" spans="17:17" ht="15.75" customHeight="1">
      <c r="Q410" s="12"/>
    </row>
    <row r="411" spans="17:17" ht="15.75" customHeight="1">
      <c r="Q411" s="12"/>
    </row>
    <row r="412" spans="17:17" ht="15.75" customHeight="1">
      <c r="Q412" s="12"/>
    </row>
    <row r="413" spans="17:17" ht="15.75" customHeight="1">
      <c r="Q413" s="12"/>
    </row>
    <row r="414" spans="17:17" ht="15.75" customHeight="1">
      <c r="Q414" s="12"/>
    </row>
    <row r="415" spans="17:17" ht="15.75" customHeight="1">
      <c r="Q415" s="12"/>
    </row>
    <row r="416" spans="17:17" ht="15.75" customHeight="1">
      <c r="Q416" s="12"/>
    </row>
    <row r="417" spans="17:17" ht="15.75" customHeight="1">
      <c r="Q417" s="12"/>
    </row>
    <row r="418" spans="17:17" ht="15.75" customHeight="1">
      <c r="Q418" s="12"/>
    </row>
    <row r="419" spans="17:17" ht="15.75" customHeight="1">
      <c r="Q419" s="12"/>
    </row>
    <row r="420" spans="17:17" ht="15.75" customHeight="1">
      <c r="Q420" s="12"/>
    </row>
    <row r="421" spans="17:17" ht="15.75" customHeight="1">
      <c r="Q421" s="12"/>
    </row>
    <row r="422" spans="17:17" ht="15.75" customHeight="1">
      <c r="Q422" s="12"/>
    </row>
    <row r="423" spans="17:17" ht="15.75" customHeight="1">
      <c r="Q423" s="12"/>
    </row>
    <row r="424" spans="17:17" ht="15.75" customHeight="1">
      <c r="Q424" s="12"/>
    </row>
    <row r="425" spans="17:17" ht="15.75" customHeight="1">
      <c r="Q425" s="12"/>
    </row>
    <row r="426" spans="17:17" ht="15.75" customHeight="1">
      <c r="Q426" s="12"/>
    </row>
    <row r="427" spans="17:17" ht="15.75" customHeight="1">
      <c r="Q427" s="12"/>
    </row>
    <row r="428" spans="17:17" ht="15.75" customHeight="1">
      <c r="Q428" s="12"/>
    </row>
    <row r="429" spans="17:17" ht="15.75" customHeight="1">
      <c r="Q429" s="12"/>
    </row>
    <row r="430" spans="17:17" ht="15.75" customHeight="1">
      <c r="Q430" s="12"/>
    </row>
    <row r="431" spans="17:17" ht="15.75" customHeight="1">
      <c r="Q431" s="12"/>
    </row>
    <row r="432" spans="17:17" ht="15.75" customHeight="1">
      <c r="Q432" s="12"/>
    </row>
    <row r="433" spans="17:17" ht="15.75" customHeight="1">
      <c r="Q433" s="12"/>
    </row>
    <row r="434" spans="17:17" ht="15.75" customHeight="1">
      <c r="Q434" s="12"/>
    </row>
    <row r="435" spans="17:17" ht="15.75" customHeight="1">
      <c r="Q435" s="12"/>
    </row>
    <row r="436" spans="17:17" ht="15.75" customHeight="1">
      <c r="Q436" s="12"/>
    </row>
    <row r="437" spans="17:17" ht="15.75" customHeight="1">
      <c r="Q437" s="12"/>
    </row>
    <row r="438" spans="17:17" ht="15.75" customHeight="1">
      <c r="Q438" s="12"/>
    </row>
    <row r="439" spans="17:17" ht="15.75" customHeight="1">
      <c r="Q439" s="12"/>
    </row>
    <row r="440" spans="17:17" ht="15.75" customHeight="1">
      <c r="Q440" s="12"/>
    </row>
    <row r="441" spans="17:17" ht="15.75" customHeight="1">
      <c r="Q441" s="12"/>
    </row>
    <row r="442" spans="17:17" ht="15.75" customHeight="1">
      <c r="Q442" s="12"/>
    </row>
    <row r="443" spans="17:17" ht="15.75" customHeight="1">
      <c r="Q443" s="12"/>
    </row>
    <row r="444" spans="17:17" ht="15.75" customHeight="1">
      <c r="Q444" s="12"/>
    </row>
    <row r="445" spans="17:17" ht="15.75" customHeight="1">
      <c r="Q445" s="12"/>
    </row>
    <row r="446" spans="17:17" ht="15.75" customHeight="1">
      <c r="Q446" s="12"/>
    </row>
    <row r="447" spans="17:17" ht="15.75" customHeight="1">
      <c r="Q447" s="12"/>
    </row>
    <row r="448" spans="17:17" ht="15.75" customHeight="1">
      <c r="Q448" s="12"/>
    </row>
    <row r="449" spans="17:17" ht="15.75" customHeight="1">
      <c r="Q449" s="12"/>
    </row>
    <row r="450" spans="17:17" ht="15.75" customHeight="1">
      <c r="Q450" s="12"/>
    </row>
    <row r="451" spans="17:17" ht="15.75" customHeight="1">
      <c r="Q451" s="12"/>
    </row>
    <row r="452" spans="17:17" ht="15.75" customHeight="1">
      <c r="Q452" s="12"/>
    </row>
    <row r="453" spans="17:17" ht="15.75" customHeight="1">
      <c r="Q453" s="12"/>
    </row>
    <row r="454" spans="17:17" ht="15.75" customHeight="1">
      <c r="Q454" s="12"/>
    </row>
    <row r="455" spans="17:17" ht="15.75" customHeight="1">
      <c r="Q455" s="12"/>
    </row>
    <row r="456" spans="17:17" ht="15.75" customHeight="1">
      <c r="Q456" s="12"/>
    </row>
    <row r="457" spans="17:17" ht="15.75" customHeight="1">
      <c r="Q457" s="12"/>
    </row>
    <row r="458" spans="17:17" ht="15.75" customHeight="1">
      <c r="Q458" s="12"/>
    </row>
    <row r="459" spans="17:17" ht="15.75" customHeight="1">
      <c r="Q459" s="12"/>
    </row>
    <row r="460" spans="17:17" ht="15.75" customHeight="1">
      <c r="Q460" s="12"/>
    </row>
    <row r="461" spans="17:17" ht="15.75" customHeight="1">
      <c r="Q461" s="12"/>
    </row>
    <row r="462" spans="17:17" ht="15.75" customHeight="1">
      <c r="Q462" s="12"/>
    </row>
    <row r="463" spans="17:17" ht="15.75" customHeight="1">
      <c r="Q463" s="12"/>
    </row>
    <row r="464" spans="17:17" ht="15.75" customHeight="1">
      <c r="Q464" s="12"/>
    </row>
    <row r="465" spans="17:17" ht="15.75" customHeight="1">
      <c r="Q465" s="12"/>
    </row>
    <row r="466" spans="17:17" ht="15.75" customHeight="1">
      <c r="Q466" s="12"/>
    </row>
    <row r="467" spans="17:17" ht="15.75" customHeight="1">
      <c r="Q467" s="12"/>
    </row>
    <row r="468" spans="17:17" ht="15.75" customHeight="1">
      <c r="Q468" s="12"/>
    </row>
    <row r="469" spans="17:17" ht="15.75" customHeight="1">
      <c r="Q469" s="12"/>
    </row>
    <row r="470" spans="17:17" ht="15.75" customHeight="1">
      <c r="Q470" s="12"/>
    </row>
    <row r="471" spans="17:17" ht="15.75" customHeight="1">
      <c r="Q471" s="12"/>
    </row>
    <row r="472" spans="17:17" ht="15.75" customHeight="1">
      <c r="Q472" s="12"/>
    </row>
    <row r="473" spans="17:17" ht="15.75" customHeight="1">
      <c r="Q473" s="12"/>
    </row>
    <row r="474" spans="17:17" ht="15.75" customHeight="1">
      <c r="Q474" s="12"/>
    </row>
    <row r="475" spans="17:17" ht="15.75" customHeight="1">
      <c r="Q475" s="12"/>
    </row>
    <row r="476" spans="17:17" ht="15.75" customHeight="1">
      <c r="Q476" s="12"/>
    </row>
    <row r="477" spans="17:17" ht="15.75" customHeight="1">
      <c r="Q477" s="12"/>
    </row>
    <row r="478" spans="17:17" ht="15.75" customHeight="1">
      <c r="Q478" s="12"/>
    </row>
    <row r="479" spans="17:17" ht="15.75" customHeight="1">
      <c r="Q479" s="12"/>
    </row>
    <row r="480" spans="17:17" ht="15.75" customHeight="1">
      <c r="Q480" s="12"/>
    </row>
    <row r="481" spans="17:17" ht="15.75" customHeight="1">
      <c r="Q481" s="12"/>
    </row>
    <row r="482" spans="17:17" ht="15.75" customHeight="1">
      <c r="Q482" s="12"/>
    </row>
    <row r="483" spans="17:17" ht="15.75" customHeight="1">
      <c r="Q483" s="12"/>
    </row>
    <row r="484" spans="17:17" ht="15.75" customHeight="1">
      <c r="Q484" s="12"/>
    </row>
    <row r="485" spans="17:17" ht="15.75" customHeight="1">
      <c r="Q485" s="12"/>
    </row>
    <row r="486" spans="17:17" ht="15.75" customHeight="1">
      <c r="Q486" s="12"/>
    </row>
    <row r="487" spans="17:17" ht="15.75" customHeight="1">
      <c r="Q487" s="12"/>
    </row>
    <row r="488" spans="17:17" ht="15.75" customHeight="1">
      <c r="Q488" s="12"/>
    </row>
    <row r="489" spans="17:17" ht="15.75" customHeight="1">
      <c r="Q489" s="12"/>
    </row>
    <row r="490" spans="17:17" ht="15.75" customHeight="1">
      <c r="Q490" s="12"/>
    </row>
    <row r="491" spans="17:17" ht="15.75" customHeight="1">
      <c r="Q491" s="12"/>
    </row>
    <row r="492" spans="17:17" ht="15.75" customHeight="1">
      <c r="Q492" s="12"/>
    </row>
    <row r="493" spans="17:17" ht="15.75" customHeight="1">
      <c r="Q493" s="12"/>
    </row>
    <row r="494" spans="17:17" ht="15.75" customHeight="1">
      <c r="Q494" s="12"/>
    </row>
    <row r="495" spans="17:17" ht="15.75" customHeight="1">
      <c r="Q495" s="12"/>
    </row>
    <row r="496" spans="17:17" ht="15.75" customHeight="1">
      <c r="Q496" s="12"/>
    </row>
    <row r="497" spans="17:17" ht="15.75" customHeight="1">
      <c r="Q497" s="12"/>
    </row>
    <row r="498" spans="17:17" ht="15.75" customHeight="1">
      <c r="Q498" s="12"/>
    </row>
    <row r="499" spans="17:17" ht="15.75" customHeight="1">
      <c r="Q499" s="12"/>
    </row>
    <row r="500" spans="17:17" ht="15.75" customHeight="1">
      <c r="Q500" s="12"/>
    </row>
    <row r="501" spans="17:17" ht="15.75" customHeight="1">
      <c r="Q501" s="12"/>
    </row>
    <row r="502" spans="17:17" ht="15.75" customHeight="1">
      <c r="Q502" s="12"/>
    </row>
    <row r="503" spans="17:17" ht="15.75" customHeight="1">
      <c r="Q503" s="12"/>
    </row>
    <row r="504" spans="17:17" ht="15.75" customHeight="1">
      <c r="Q504" s="12"/>
    </row>
    <row r="505" spans="17:17" ht="15.75" customHeight="1">
      <c r="Q505" s="12"/>
    </row>
    <row r="506" spans="17:17" ht="15.75" customHeight="1">
      <c r="Q506" s="12"/>
    </row>
    <row r="507" spans="17:17" ht="15.75" customHeight="1">
      <c r="Q507" s="12"/>
    </row>
    <row r="508" spans="17:17" ht="15.75" customHeight="1">
      <c r="Q508" s="12"/>
    </row>
    <row r="509" spans="17:17" ht="15.75" customHeight="1">
      <c r="Q509" s="12"/>
    </row>
    <row r="510" spans="17:17" ht="15.75" customHeight="1">
      <c r="Q510" s="12"/>
    </row>
    <row r="511" spans="17:17" ht="15.75" customHeight="1">
      <c r="Q511" s="12"/>
    </row>
    <row r="512" spans="17:17" ht="15.75" customHeight="1">
      <c r="Q512" s="12"/>
    </row>
    <row r="513" spans="17:17" ht="15.75" customHeight="1">
      <c r="Q513" s="12"/>
    </row>
    <row r="514" spans="17:17" ht="15.75" customHeight="1">
      <c r="Q514" s="12"/>
    </row>
    <row r="515" spans="17:17" ht="15.75" customHeight="1">
      <c r="Q515" s="12"/>
    </row>
    <row r="516" spans="17:17" ht="15.75" customHeight="1">
      <c r="Q516" s="12"/>
    </row>
    <row r="517" spans="17:17" ht="15.75" customHeight="1">
      <c r="Q517" s="12"/>
    </row>
    <row r="518" spans="17:17" ht="15.75" customHeight="1">
      <c r="Q518" s="12"/>
    </row>
    <row r="519" spans="17:17" ht="15.75" customHeight="1">
      <c r="Q519" s="12"/>
    </row>
    <row r="520" spans="17:17" ht="15.75" customHeight="1">
      <c r="Q520" s="12"/>
    </row>
    <row r="521" spans="17:17" ht="15.75" customHeight="1">
      <c r="Q521" s="12"/>
    </row>
    <row r="522" spans="17:17" ht="15.75" customHeight="1">
      <c r="Q522" s="12"/>
    </row>
    <row r="523" spans="17:17" ht="15.75" customHeight="1">
      <c r="Q523" s="12"/>
    </row>
    <row r="524" spans="17:17" ht="15.75" customHeight="1">
      <c r="Q524" s="12"/>
    </row>
    <row r="525" spans="17:17" ht="15.75" customHeight="1">
      <c r="Q525" s="12"/>
    </row>
    <row r="526" spans="17:17" ht="15.75" customHeight="1">
      <c r="Q526" s="12"/>
    </row>
    <row r="527" spans="17:17" ht="15.75" customHeight="1">
      <c r="Q527" s="12"/>
    </row>
    <row r="528" spans="17:17" ht="15.75" customHeight="1">
      <c r="Q528" s="12"/>
    </row>
    <row r="529" spans="17:17" ht="15.75" customHeight="1">
      <c r="Q529" s="12"/>
    </row>
    <row r="530" spans="17:17" ht="15.75" customHeight="1">
      <c r="Q530" s="12"/>
    </row>
    <row r="531" spans="17:17" ht="15.75" customHeight="1">
      <c r="Q531" s="12"/>
    </row>
    <row r="532" spans="17:17" ht="15.75" customHeight="1">
      <c r="Q532" s="12"/>
    </row>
    <row r="533" spans="17:17" ht="15.75" customHeight="1">
      <c r="Q533" s="12"/>
    </row>
    <row r="534" spans="17:17" ht="15.75" customHeight="1">
      <c r="Q534" s="12"/>
    </row>
    <row r="535" spans="17:17" ht="15.75" customHeight="1">
      <c r="Q535" s="12"/>
    </row>
    <row r="536" spans="17:17" ht="15.75" customHeight="1">
      <c r="Q536" s="12"/>
    </row>
    <row r="537" spans="17:17" ht="15.75" customHeight="1">
      <c r="Q537" s="12"/>
    </row>
    <row r="538" spans="17:17" ht="15.75" customHeight="1">
      <c r="Q538" s="12"/>
    </row>
    <row r="539" spans="17:17" ht="15.75" customHeight="1">
      <c r="Q539" s="12"/>
    </row>
    <row r="540" spans="17:17" ht="15.75" customHeight="1">
      <c r="Q540" s="12"/>
    </row>
    <row r="541" spans="17:17" ht="15.75" customHeight="1">
      <c r="Q541" s="12"/>
    </row>
    <row r="542" spans="17:17" ht="15.75" customHeight="1">
      <c r="Q542" s="12"/>
    </row>
    <row r="543" spans="17:17" ht="15.75" customHeight="1">
      <c r="Q543" s="12"/>
    </row>
    <row r="544" spans="17:17" ht="15.75" customHeight="1">
      <c r="Q544" s="12"/>
    </row>
    <row r="545" spans="17:17" ht="15.75" customHeight="1">
      <c r="Q545" s="12"/>
    </row>
    <row r="546" spans="17:17" ht="15.75" customHeight="1">
      <c r="Q546" s="12"/>
    </row>
    <row r="547" spans="17:17" ht="15.75" customHeight="1">
      <c r="Q547" s="12"/>
    </row>
    <row r="548" spans="17:17" ht="15.75" customHeight="1">
      <c r="Q548" s="12"/>
    </row>
    <row r="549" spans="17:17" ht="15.75" customHeight="1">
      <c r="Q549" s="12"/>
    </row>
    <row r="550" spans="17:17" ht="15.75" customHeight="1">
      <c r="Q550" s="12"/>
    </row>
    <row r="551" spans="17:17" ht="15.75" customHeight="1">
      <c r="Q551" s="12"/>
    </row>
    <row r="552" spans="17:17" ht="15.75" customHeight="1">
      <c r="Q552" s="12"/>
    </row>
    <row r="553" spans="17:17" ht="15.75" customHeight="1">
      <c r="Q553" s="12"/>
    </row>
    <row r="554" spans="17:17" ht="15.75" customHeight="1">
      <c r="Q554" s="12"/>
    </row>
    <row r="555" spans="17:17" ht="15.75" customHeight="1">
      <c r="Q555" s="12"/>
    </row>
    <row r="556" spans="17:17" ht="15.75" customHeight="1">
      <c r="Q556" s="12"/>
    </row>
    <row r="557" spans="17:17" ht="15.75" customHeight="1">
      <c r="Q557" s="12"/>
    </row>
    <row r="558" spans="17:17" ht="15.75" customHeight="1">
      <c r="Q558" s="12"/>
    </row>
    <row r="559" spans="17:17" ht="15.75" customHeight="1">
      <c r="Q559" s="12"/>
    </row>
    <row r="560" spans="17:17" ht="15.75" customHeight="1">
      <c r="Q560" s="12"/>
    </row>
    <row r="561" spans="17:17" ht="15.75" customHeight="1">
      <c r="Q561" s="12"/>
    </row>
    <row r="562" spans="17:17" ht="15.75" customHeight="1">
      <c r="Q562" s="12"/>
    </row>
    <row r="563" spans="17:17" ht="15.75" customHeight="1">
      <c r="Q563" s="12"/>
    </row>
    <row r="564" spans="17:17" ht="15.75" customHeight="1">
      <c r="Q564" s="12"/>
    </row>
    <row r="565" spans="17:17" ht="15.75" customHeight="1">
      <c r="Q565" s="12"/>
    </row>
    <row r="566" spans="17:17" ht="15.75" customHeight="1">
      <c r="Q566" s="12"/>
    </row>
    <row r="567" spans="17:17" ht="15.75" customHeight="1">
      <c r="Q567" s="12"/>
    </row>
    <row r="568" spans="17:17" ht="15.75" customHeight="1">
      <c r="Q568" s="12"/>
    </row>
    <row r="569" spans="17:17" ht="15.75" customHeight="1">
      <c r="Q569" s="12"/>
    </row>
    <row r="570" spans="17:17" ht="15.75" customHeight="1">
      <c r="Q570" s="12"/>
    </row>
    <row r="571" spans="17:17" ht="15.75" customHeight="1">
      <c r="Q571" s="12"/>
    </row>
    <row r="572" spans="17:17" ht="15.75" customHeight="1">
      <c r="Q572" s="12"/>
    </row>
    <row r="573" spans="17:17" ht="15.75" customHeight="1">
      <c r="Q573" s="12"/>
    </row>
    <row r="574" spans="17:17" ht="15.75" customHeight="1">
      <c r="Q574" s="12"/>
    </row>
    <row r="575" spans="17:17" ht="15.75" customHeight="1">
      <c r="Q575" s="12"/>
    </row>
    <row r="576" spans="17:17" ht="15.75" customHeight="1">
      <c r="Q576" s="12"/>
    </row>
    <row r="577" spans="17:17" ht="15.75" customHeight="1">
      <c r="Q577" s="12"/>
    </row>
    <row r="578" spans="17:17" ht="15.75" customHeight="1">
      <c r="Q578" s="12"/>
    </row>
    <row r="579" spans="17:17" ht="15.75" customHeight="1">
      <c r="Q579" s="12"/>
    </row>
    <row r="580" spans="17:17" ht="15.75" customHeight="1">
      <c r="Q580" s="12"/>
    </row>
    <row r="581" spans="17:17" ht="15.75" customHeight="1">
      <c r="Q581" s="12"/>
    </row>
    <row r="582" spans="17:17" ht="15.75" customHeight="1">
      <c r="Q582" s="12"/>
    </row>
    <row r="583" spans="17:17" ht="15.75" customHeight="1">
      <c r="Q583" s="12"/>
    </row>
    <row r="584" spans="17:17" ht="15.75" customHeight="1">
      <c r="Q584" s="12"/>
    </row>
    <row r="585" spans="17:17" ht="15.75" customHeight="1">
      <c r="Q585" s="12"/>
    </row>
    <row r="586" spans="17:17" ht="15.75" customHeight="1">
      <c r="Q586" s="12"/>
    </row>
    <row r="587" spans="17:17" ht="15.75" customHeight="1">
      <c r="Q587" s="12"/>
    </row>
    <row r="588" spans="17:17" ht="15.75" customHeight="1">
      <c r="Q588" s="12"/>
    </row>
    <row r="589" spans="17:17" ht="15.75" customHeight="1">
      <c r="Q589" s="12"/>
    </row>
    <row r="590" spans="17:17" ht="15.75" customHeight="1">
      <c r="Q590" s="12"/>
    </row>
    <row r="591" spans="17:17" ht="15.75" customHeight="1">
      <c r="Q591" s="12"/>
    </row>
    <row r="592" spans="17:17" ht="15.75" customHeight="1">
      <c r="Q592" s="12"/>
    </row>
    <row r="593" spans="17:17" ht="15.75" customHeight="1">
      <c r="Q593" s="12"/>
    </row>
    <row r="594" spans="17:17" ht="15.75" customHeight="1">
      <c r="Q594" s="12"/>
    </row>
    <row r="595" spans="17:17" ht="15.75" customHeight="1">
      <c r="Q595" s="12"/>
    </row>
    <row r="596" spans="17:17" ht="15.75" customHeight="1">
      <c r="Q596" s="12"/>
    </row>
    <row r="597" spans="17:17" ht="15.75" customHeight="1">
      <c r="Q597" s="12"/>
    </row>
    <row r="598" spans="17:17" ht="15.75" customHeight="1">
      <c r="Q598" s="12"/>
    </row>
    <row r="599" spans="17:17" ht="15.75" customHeight="1">
      <c r="Q599" s="12"/>
    </row>
    <row r="600" spans="17:17" ht="15.75" customHeight="1">
      <c r="Q600" s="12"/>
    </row>
    <row r="601" spans="17:17" ht="15.75" customHeight="1">
      <c r="Q601" s="12"/>
    </row>
    <row r="602" spans="17:17" ht="15.75" customHeight="1">
      <c r="Q602" s="12"/>
    </row>
    <row r="603" spans="17:17" ht="15.75" customHeight="1">
      <c r="Q603" s="12"/>
    </row>
    <row r="604" spans="17:17" ht="15.75" customHeight="1">
      <c r="Q604" s="12"/>
    </row>
    <row r="605" spans="17:17" ht="15.75" customHeight="1">
      <c r="Q605" s="12"/>
    </row>
    <row r="606" spans="17:17" ht="15.75" customHeight="1">
      <c r="Q606" s="12"/>
    </row>
    <row r="607" spans="17:17" ht="15.75" customHeight="1">
      <c r="Q607" s="12"/>
    </row>
    <row r="608" spans="17:17" ht="15.75" customHeight="1">
      <c r="Q608" s="12"/>
    </row>
    <row r="609" spans="17:17" ht="15.75" customHeight="1">
      <c r="Q609" s="12"/>
    </row>
    <row r="610" spans="17:17" ht="15.75" customHeight="1">
      <c r="Q610" s="12"/>
    </row>
    <row r="611" spans="17:17" ht="15.75" customHeight="1">
      <c r="Q611" s="12"/>
    </row>
    <row r="612" spans="17:17" ht="15.75" customHeight="1">
      <c r="Q612" s="12"/>
    </row>
    <row r="613" spans="17:17" ht="15.75" customHeight="1">
      <c r="Q613" s="12"/>
    </row>
    <row r="614" spans="17:17" ht="15.75" customHeight="1">
      <c r="Q614" s="12"/>
    </row>
    <row r="615" spans="17:17" ht="15.75" customHeight="1">
      <c r="Q615" s="12"/>
    </row>
    <row r="616" spans="17:17" ht="15.75" customHeight="1">
      <c r="Q616" s="12"/>
    </row>
    <row r="617" spans="17:17" ht="15.75" customHeight="1">
      <c r="Q617" s="12"/>
    </row>
    <row r="618" spans="17:17" ht="15.75" customHeight="1">
      <c r="Q618" s="12"/>
    </row>
    <row r="619" spans="17:17" ht="15.75" customHeight="1">
      <c r="Q619" s="12"/>
    </row>
    <row r="620" spans="17:17" ht="15.75" customHeight="1">
      <c r="Q620" s="12"/>
    </row>
    <row r="621" spans="17:17" ht="15.75" customHeight="1">
      <c r="Q621" s="12"/>
    </row>
    <row r="622" spans="17:17" ht="15.75" customHeight="1">
      <c r="Q622" s="12"/>
    </row>
    <row r="623" spans="17:17" ht="15.75" customHeight="1">
      <c r="Q623" s="12"/>
    </row>
    <row r="624" spans="17:17" ht="15.75" customHeight="1">
      <c r="Q624" s="12"/>
    </row>
    <row r="625" spans="17:17" ht="15.75" customHeight="1">
      <c r="Q625" s="12"/>
    </row>
    <row r="626" spans="17:17" ht="15.75" customHeight="1">
      <c r="Q626" s="12"/>
    </row>
    <row r="627" spans="17:17" ht="15.75" customHeight="1">
      <c r="Q627" s="12"/>
    </row>
    <row r="628" spans="17:17" ht="15.75" customHeight="1">
      <c r="Q628" s="12"/>
    </row>
    <row r="629" spans="17:17" ht="15.75" customHeight="1">
      <c r="Q629" s="12"/>
    </row>
    <row r="630" spans="17:17" ht="15.75" customHeight="1">
      <c r="Q630" s="12"/>
    </row>
    <row r="631" spans="17:17" ht="15.75" customHeight="1">
      <c r="Q631" s="12"/>
    </row>
    <row r="632" spans="17:17" ht="15.75" customHeight="1">
      <c r="Q632" s="12"/>
    </row>
    <row r="633" spans="17:17" ht="15.75" customHeight="1">
      <c r="Q633" s="12"/>
    </row>
    <row r="634" spans="17:17" ht="15.75" customHeight="1">
      <c r="Q634" s="12"/>
    </row>
    <row r="635" spans="17:17" ht="15.75" customHeight="1">
      <c r="Q635" s="12"/>
    </row>
    <row r="636" spans="17:17" ht="15.75" customHeight="1">
      <c r="Q636" s="12"/>
    </row>
    <row r="637" spans="17:17" ht="15.75" customHeight="1">
      <c r="Q637" s="12"/>
    </row>
    <row r="638" spans="17:17" ht="15.75" customHeight="1">
      <c r="Q638" s="12"/>
    </row>
    <row r="639" spans="17:17" ht="15.75" customHeight="1">
      <c r="Q639" s="12"/>
    </row>
    <row r="640" spans="17:17" ht="15.75" customHeight="1">
      <c r="Q640" s="12"/>
    </row>
    <row r="641" spans="17:17" ht="15.75" customHeight="1">
      <c r="Q641" s="12"/>
    </row>
    <row r="642" spans="17:17" ht="15.75" customHeight="1">
      <c r="Q642" s="12"/>
    </row>
    <row r="643" spans="17:17" ht="15.75" customHeight="1">
      <c r="Q643" s="12"/>
    </row>
    <row r="644" spans="17:17" ht="15.75" customHeight="1">
      <c r="Q644" s="12"/>
    </row>
    <row r="645" spans="17:17" ht="15.75" customHeight="1">
      <c r="Q645" s="12"/>
    </row>
    <row r="646" spans="17:17" ht="15.75" customHeight="1">
      <c r="Q646" s="12"/>
    </row>
    <row r="647" spans="17:17" ht="15.75" customHeight="1">
      <c r="Q647" s="12"/>
    </row>
    <row r="648" spans="17:17" ht="15.75" customHeight="1">
      <c r="Q648" s="12"/>
    </row>
    <row r="649" spans="17:17" ht="15.75" customHeight="1">
      <c r="Q649" s="12"/>
    </row>
    <row r="650" spans="17:17" ht="15.75" customHeight="1">
      <c r="Q650" s="12"/>
    </row>
    <row r="651" spans="17:17" ht="15.75" customHeight="1">
      <c r="Q651" s="12"/>
    </row>
    <row r="652" spans="17:17" ht="15.75" customHeight="1">
      <c r="Q652" s="12"/>
    </row>
    <row r="653" spans="17:17" ht="15.75" customHeight="1">
      <c r="Q653" s="12"/>
    </row>
    <row r="654" spans="17:17" ht="15.75" customHeight="1">
      <c r="Q654" s="12"/>
    </row>
    <row r="655" spans="17:17" ht="15.75" customHeight="1">
      <c r="Q655" s="12"/>
    </row>
    <row r="656" spans="17:17" ht="15.75" customHeight="1">
      <c r="Q656" s="12"/>
    </row>
    <row r="657" spans="17:17" ht="15.75" customHeight="1">
      <c r="Q657" s="12"/>
    </row>
    <row r="658" spans="17:17" ht="15.75" customHeight="1">
      <c r="Q658" s="12"/>
    </row>
    <row r="659" spans="17:17" ht="15.75" customHeight="1">
      <c r="Q659" s="12"/>
    </row>
    <row r="660" spans="17:17" ht="15.75" customHeight="1">
      <c r="Q660" s="12"/>
    </row>
    <row r="661" spans="17:17" ht="15.75" customHeight="1">
      <c r="Q661" s="12"/>
    </row>
    <row r="662" spans="17:17" ht="15.75" customHeight="1">
      <c r="Q662" s="12"/>
    </row>
    <row r="663" spans="17:17" ht="15.75" customHeight="1">
      <c r="Q663" s="12"/>
    </row>
    <row r="664" spans="17:17" ht="15.75" customHeight="1">
      <c r="Q664" s="12"/>
    </row>
    <row r="665" spans="17:17" ht="15.75" customHeight="1">
      <c r="Q665" s="12"/>
    </row>
    <row r="666" spans="17:17" ht="15.75" customHeight="1">
      <c r="Q666" s="12"/>
    </row>
    <row r="667" spans="17:17" ht="15.75" customHeight="1">
      <c r="Q667" s="12"/>
    </row>
    <row r="668" spans="17:17" ht="15.75" customHeight="1">
      <c r="Q668" s="12"/>
    </row>
    <row r="669" spans="17:17" ht="15.75" customHeight="1">
      <c r="Q669" s="12"/>
    </row>
    <row r="670" spans="17:17" ht="15.75" customHeight="1">
      <c r="Q670" s="12"/>
    </row>
    <row r="671" spans="17:17" ht="15.75" customHeight="1">
      <c r="Q671" s="12"/>
    </row>
    <row r="672" spans="17:17" ht="15.75" customHeight="1">
      <c r="Q672" s="12"/>
    </row>
    <row r="673" spans="17:17" ht="15.75" customHeight="1">
      <c r="Q673" s="12"/>
    </row>
    <row r="674" spans="17:17" ht="15.75" customHeight="1">
      <c r="Q674" s="12"/>
    </row>
    <row r="675" spans="17:17" ht="15.75" customHeight="1">
      <c r="Q675" s="12"/>
    </row>
    <row r="676" spans="17:17" ht="15.75" customHeight="1">
      <c r="Q676" s="12"/>
    </row>
    <row r="677" spans="17:17" ht="15.75" customHeight="1">
      <c r="Q677" s="12"/>
    </row>
    <row r="678" spans="17:17" ht="15.75" customHeight="1">
      <c r="Q678" s="12"/>
    </row>
    <row r="679" spans="17:17" ht="15.75" customHeight="1">
      <c r="Q679" s="12"/>
    </row>
    <row r="680" spans="17:17" ht="15.75" customHeight="1">
      <c r="Q680" s="12"/>
    </row>
    <row r="681" spans="17:17" ht="15.75" customHeight="1">
      <c r="Q681" s="12"/>
    </row>
    <row r="682" spans="17:17" ht="15.75" customHeight="1">
      <c r="Q682" s="12"/>
    </row>
    <row r="683" spans="17:17" ht="15.75" customHeight="1">
      <c r="Q683" s="12"/>
    </row>
    <row r="684" spans="17:17" ht="15.75" customHeight="1">
      <c r="Q684" s="12"/>
    </row>
    <row r="685" spans="17:17" ht="15.75" customHeight="1">
      <c r="Q685" s="12"/>
    </row>
    <row r="686" spans="17:17" ht="15.75" customHeight="1">
      <c r="Q686" s="12"/>
    </row>
    <row r="687" spans="17:17" ht="15.75" customHeight="1">
      <c r="Q687" s="12"/>
    </row>
    <row r="688" spans="17:17" ht="15.75" customHeight="1">
      <c r="Q688" s="12"/>
    </row>
    <row r="689" spans="17:17" ht="15.75" customHeight="1">
      <c r="Q689" s="12"/>
    </row>
    <row r="690" spans="17:17" ht="15.75" customHeight="1">
      <c r="Q690" s="12"/>
    </row>
    <row r="691" spans="17:17" ht="15.75" customHeight="1">
      <c r="Q691" s="12"/>
    </row>
    <row r="692" spans="17:17" ht="15.75" customHeight="1">
      <c r="Q692" s="12"/>
    </row>
    <row r="693" spans="17:17" ht="15.75" customHeight="1">
      <c r="Q693" s="12"/>
    </row>
    <row r="694" spans="17:17" ht="15.75" customHeight="1">
      <c r="Q694" s="12"/>
    </row>
    <row r="695" spans="17:17" ht="15.75" customHeight="1">
      <c r="Q695" s="12"/>
    </row>
    <row r="696" spans="17:17" ht="15.75" customHeight="1">
      <c r="Q696" s="12"/>
    </row>
    <row r="697" spans="17:17" ht="15.75" customHeight="1">
      <c r="Q697" s="12"/>
    </row>
    <row r="698" spans="17:17" ht="15.75" customHeight="1">
      <c r="Q698" s="12"/>
    </row>
    <row r="699" spans="17:17" ht="15.75" customHeight="1">
      <c r="Q699" s="12"/>
    </row>
    <row r="700" spans="17:17" ht="15.75" customHeight="1">
      <c r="Q700" s="12"/>
    </row>
    <row r="701" spans="17:17" ht="15.75" customHeight="1">
      <c r="Q701" s="12"/>
    </row>
    <row r="702" spans="17:17" ht="15.75" customHeight="1">
      <c r="Q702" s="12"/>
    </row>
    <row r="703" spans="17:17" ht="15.75" customHeight="1">
      <c r="Q703" s="12"/>
    </row>
    <row r="704" spans="17:17" ht="15.75" customHeight="1">
      <c r="Q704" s="12"/>
    </row>
    <row r="705" spans="17:17" ht="15.75" customHeight="1">
      <c r="Q705" s="12"/>
    </row>
    <row r="706" spans="17:17" ht="15.75" customHeight="1">
      <c r="Q706" s="12"/>
    </row>
    <row r="707" spans="17:17" ht="15.75" customHeight="1">
      <c r="Q707" s="12"/>
    </row>
    <row r="708" spans="17:17" ht="15.75" customHeight="1">
      <c r="Q708" s="12"/>
    </row>
    <row r="709" spans="17:17" ht="15.75" customHeight="1">
      <c r="Q709" s="12"/>
    </row>
    <row r="710" spans="17:17" ht="15.75" customHeight="1">
      <c r="Q710" s="12"/>
    </row>
    <row r="711" spans="17:17" ht="15.75" customHeight="1">
      <c r="Q711" s="12"/>
    </row>
    <row r="712" spans="17:17" ht="15.75" customHeight="1">
      <c r="Q712" s="12"/>
    </row>
    <row r="713" spans="17:17" ht="15.75" customHeight="1">
      <c r="Q713" s="12"/>
    </row>
    <row r="714" spans="17:17" ht="15.75" customHeight="1">
      <c r="Q714" s="12"/>
    </row>
    <row r="715" spans="17:17" ht="15.75" customHeight="1">
      <c r="Q715" s="12"/>
    </row>
    <row r="716" spans="17:17" ht="15.75" customHeight="1">
      <c r="Q716" s="12"/>
    </row>
    <row r="717" spans="17:17" ht="15.75" customHeight="1">
      <c r="Q717" s="12"/>
    </row>
    <row r="718" spans="17:17" ht="15.75" customHeight="1">
      <c r="Q718" s="12"/>
    </row>
    <row r="719" spans="17:17" ht="15.75" customHeight="1">
      <c r="Q719" s="12"/>
    </row>
    <row r="720" spans="17:17" ht="15.75" customHeight="1">
      <c r="Q720" s="12"/>
    </row>
    <row r="721" spans="17:17" ht="15.75" customHeight="1">
      <c r="Q721" s="12"/>
    </row>
    <row r="722" spans="17:17" ht="15.75" customHeight="1">
      <c r="Q722" s="12"/>
    </row>
    <row r="723" spans="17:17" ht="15.75" customHeight="1">
      <c r="Q723" s="12"/>
    </row>
    <row r="724" spans="17:17" ht="15.75" customHeight="1">
      <c r="Q724" s="12"/>
    </row>
    <row r="725" spans="17:17" ht="15.75" customHeight="1">
      <c r="Q725" s="12"/>
    </row>
    <row r="726" spans="17:17" ht="15.75" customHeight="1">
      <c r="Q726" s="12"/>
    </row>
    <row r="727" spans="17:17" ht="15.75" customHeight="1">
      <c r="Q727" s="12"/>
    </row>
    <row r="728" spans="17:17" ht="15.75" customHeight="1">
      <c r="Q728" s="12"/>
    </row>
    <row r="729" spans="17:17" ht="15.75" customHeight="1">
      <c r="Q729" s="12"/>
    </row>
    <row r="730" spans="17:17" ht="15.75" customHeight="1">
      <c r="Q730" s="12"/>
    </row>
    <row r="731" spans="17:17" ht="15.75" customHeight="1">
      <c r="Q731" s="12"/>
    </row>
    <row r="732" spans="17:17" ht="15.75" customHeight="1">
      <c r="Q732" s="12"/>
    </row>
    <row r="733" spans="17:17" ht="15.75" customHeight="1">
      <c r="Q733" s="12"/>
    </row>
    <row r="734" spans="17:17" ht="15.75" customHeight="1">
      <c r="Q734" s="12"/>
    </row>
    <row r="735" spans="17:17" ht="15.75" customHeight="1">
      <c r="Q735" s="12"/>
    </row>
    <row r="736" spans="17:17" ht="15.75" customHeight="1">
      <c r="Q736" s="12"/>
    </row>
    <row r="737" spans="17:17" ht="15.75" customHeight="1">
      <c r="Q737" s="12"/>
    </row>
    <row r="738" spans="17:17" ht="15.75" customHeight="1">
      <c r="Q738" s="12"/>
    </row>
    <row r="739" spans="17:17" ht="15.75" customHeight="1">
      <c r="Q739" s="12"/>
    </row>
    <row r="740" spans="17:17" ht="15.75" customHeight="1">
      <c r="Q740" s="12"/>
    </row>
    <row r="741" spans="17:17" ht="15.75" customHeight="1">
      <c r="Q741" s="12"/>
    </row>
    <row r="742" spans="17:17" ht="15.75" customHeight="1">
      <c r="Q742" s="12"/>
    </row>
    <row r="743" spans="17:17" ht="15.75" customHeight="1">
      <c r="Q743" s="12"/>
    </row>
    <row r="744" spans="17:17" ht="15.75" customHeight="1">
      <c r="Q744" s="12"/>
    </row>
    <row r="745" spans="17:17" ht="15.75" customHeight="1">
      <c r="Q745" s="12"/>
    </row>
    <row r="746" spans="17:17" ht="15.75" customHeight="1">
      <c r="Q746" s="12"/>
    </row>
    <row r="747" spans="17:17" ht="15.75" customHeight="1">
      <c r="Q747" s="12"/>
    </row>
    <row r="748" spans="17:17" ht="15.75" customHeight="1">
      <c r="Q748" s="12"/>
    </row>
    <row r="749" spans="17:17" ht="15.75" customHeight="1">
      <c r="Q749" s="12"/>
    </row>
    <row r="750" spans="17:17" ht="15.75" customHeight="1">
      <c r="Q750" s="12"/>
    </row>
    <row r="751" spans="17:17" ht="15.75" customHeight="1">
      <c r="Q751" s="12"/>
    </row>
    <row r="752" spans="17:17" ht="15.75" customHeight="1">
      <c r="Q752" s="12"/>
    </row>
    <row r="753" spans="17:17" ht="15.75" customHeight="1">
      <c r="Q753" s="12"/>
    </row>
    <row r="754" spans="17:17" ht="15.75" customHeight="1">
      <c r="Q754" s="12"/>
    </row>
    <row r="755" spans="17:17" ht="15.75" customHeight="1">
      <c r="Q755" s="12"/>
    </row>
    <row r="756" spans="17:17" ht="15.75" customHeight="1">
      <c r="Q756" s="12"/>
    </row>
    <row r="757" spans="17:17" ht="15.75" customHeight="1">
      <c r="Q757" s="12"/>
    </row>
    <row r="758" spans="17:17" ht="15.75" customHeight="1">
      <c r="Q758" s="12"/>
    </row>
    <row r="759" spans="17:17" ht="15.75" customHeight="1">
      <c r="Q759" s="12"/>
    </row>
    <row r="760" spans="17:17" ht="15.75" customHeight="1">
      <c r="Q760" s="12"/>
    </row>
    <row r="761" spans="17:17" ht="15.75" customHeight="1">
      <c r="Q761" s="12"/>
    </row>
    <row r="762" spans="17:17" ht="15.75" customHeight="1">
      <c r="Q762" s="12"/>
    </row>
    <row r="763" spans="17:17" ht="15.75" customHeight="1">
      <c r="Q763" s="12"/>
    </row>
    <row r="764" spans="17:17" ht="15.75" customHeight="1">
      <c r="Q764" s="12"/>
    </row>
    <row r="765" spans="17:17" ht="15.75" customHeight="1">
      <c r="Q765" s="12"/>
    </row>
    <row r="766" spans="17:17" ht="15.75" customHeight="1">
      <c r="Q766" s="12"/>
    </row>
    <row r="767" spans="17:17" ht="15.75" customHeight="1">
      <c r="Q767" s="12"/>
    </row>
    <row r="768" spans="17:17" ht="15.75" customHeight="1">
      <c r="Q768" s="12"/>
    </row>
    <row r="769" spans="17:17" ht="15.75" customHeight="1">
      <c r="Q769" s="12"/>
    </row>
    <row r="770" spans="17:17" ht="15.75" customHeight="1">
      <c r="Q770" s="12"/>
    </row>
    <row r="771" spans="17:17" ht="15.75" customHeight="1">
      <c r="Q771" s="12"/>
    </row>
    <row r="772" spans="17:17" ht="15.75" customHeight="1">
      <c r="Q772" s="12"/>
    </row>
    <row r="773" spans="17:17" ht="15.75" customHeight="1">
      <c r="Q773" s="12"/>
    </row>
    <row r="774" spans="17:17" ht="15.75" customHeight="1">
      <c r="Q774" s="12"/>
    </row>
    <row r="775" spans="17:17" ht="15.75" customHeight="1">
      <c r="Q775" s="12"/>
    </row>
    <row r="776" spans="17:17" ht="15.75" customHeight="1">
      <c r="Q776" s="12"/>
    </row>
    <row r="777" spans="17:17" ht="15.75" customHeight="1">
      <c r="Q777" s="12"/>
    </row>
    <row r="778" spans="17:17" ht="15.75" customHeight="1">
      <c r="Q778" s="12"/>
    </row>
    <row r="779" spans="17:17" ht="15.75" customHeight="1">
      <c r="Q779" s="12"/>
    </row>
    <row r="780" spans="17:17" ht="15.75" customHeight="1">
      <c r="Q780" s="12"/>
    </row>
    <row r="781" spans="17:17" ht="15.75" customHeight="1">
      <c r="Q781" s="12"/>
    </row>
    <row r="782" spans="17:17" ht="15.75" customHeight="1">
      <c r="Q782" s="12"/>
    </row>
    <row r="783" spans="17:17" ht="15.75" customHeight="1">
      <c r="Q783" s="12"/>
    </row>
    <row r="784" spans="17:17" ht="15.75" customHeight="1">
      <c r="Q784" s="12"/>
    </row>
    <row r="785" spans="17:17" ht="15.75" customHeight="1">
      <c r="Q785" s="12"/>
    </row>
    <row r="786" spans="17:17" ht="15.75" customHeight="1">
      <c r="Q786" s="12"/>
    </row>
    <row r="787" spans="17:17" ht="15.75" customHeight="1">
      <c r="Q787" s="12"/>
    </row>
    <row r="788" spans="17:17" ht="15.75" customHeight="1">
      <c r="Q788" s="12"/>
    </row>
    <row r="789" spans="17:17" ht="15.75" customHeight="1">
      <c r="Q789" s="12"/>
    </row>
    <row r="790" spans="17:17" ht="15.75" customHeight="1">
      <c r="Q790" s="12"/>
    </row>
    <row r="791" spans="17:17" ht="15.75" customHeight="1">
      <c r="Q791" s="12"/>
    </row>
    <row r="792" spans="17:17" ht="15.75" customHeight="1">
      <c r="Q792" s="12"/>
    </row>
    <row r="793" spans="17:17" ht="15.75" customHeight="1">
      <c r="Q793" s="12"/>
    </row>
    <row r="794" spans="17:17" ht="15.75" customHeight="1">
      <c r="Q794" s="12"/>
    </row>
    <row r="795" spans="17:17" ht="15.75" customHeight="1">
      <c r="Q795" s="12"/>
    </row>
    <row r="796" spans="17:17" ht="15.75" customHeight="1">
      <c r="Q796" s="12"/>
    </row>
    <row r="797" spans="17:17" ht="15.75" customHeight="1">
      <c r="Q797" s="12"/>
    </row>
    <row r="798" spans="17:17" ht="15.75" customHeight="1">
      <c r="Q798" s="12"/>
    </row>
    <row r="799" spans="17:17" ht="15.75" customHeight="1">
      <c r="Q799" s="12"/>
    </row>
    <row r="800" spans="17:17" ht="15.75" customHeight="1">
      <c r="Q800" s="12"/>
    </row>
    <row r="801" spans="17:17" ht="15.75" customHeight="1">
      <c r="Q801" s="12"/>
    </row>
    <row r="802" spans="17:17" ht="15.75" customHeight="1">
      <c r="Q802" s="12"/>
    </row>
    <row r="803" spans="17:17" ht="15.75" customHeight="1">
      <c r="Q803" s="12"/>
    </row>
    <row r="804" spans="17:17" ht="15.75" customHeight="1">
      <c r="Q804" s="12"/>
    </row>
    <row r="805" spans="17:17" ht="15.75" customHeight="1">
      <c r="Q805" s="12"/>
    </row>
    <row r="806" spans="17:17" ht="15.75" customHeight="1">
      <c r="Q806" s="12"/>
    </row>
    <row r="807" spans="17:17" ht="15.75" customHeight="1">
      <c r="Q807" s="12"/>
    </row>
    <row r="808" spans="17:17" ht="15.75" customHeight="1">
      <c r="Q808" s="12"/>
    </row>
    <row r="809" spans="17:17" ht="15.75" customHeight="1">
      <c r="Q809" s="12"/>
    </row>
    <row r="810" spans="17:17" ht="15.75" customHeight="1">
      <c r="Q810" s="12"/>
    </row>
    <row r="811" spans="17:17" ht="15.75" customHeight="1">
      <c r="Q811" s="12"/>
    </row>
    <row r="812" spans="17:17" ht="15.75" customHeight="1">
      <c r="Q812" s="12"/>
    </row>
    <row r="813" spans="17:17" ht="15.75" customHeight="1">
      <c r="Q813" s="12"/>
    </row>
    <row r="814" spans="17:17" ht="15.75" customHeight="1">
      <c r="Q814" s="12"/>
    </row>
    <row r="815" spans="17:17" ht="15.75" customHeight="1">
      <c r="Q815" s="12"/>
    </row>
    <row r="816" spans="17:17" ht="15.75" customHeight="1">
      <c r="Q816" s="12"/>
    </row>
    <row r="817" spans="17:17" ht="15.75" customHeight="1">
      <c r="Q817" s="12"/>
    </row>
    <row r="818" spans="17:17" ht="15.75" customHeight="1">
      <c r="Q818" s="12"/>
    </row>
    <row r="819" spans="17:17" ht="15.75" customHeight="1">
      <c r="Q819" s="12"/>
    </row>
    <row r="820" spans="17:17" ht="15.75" customHeight="1">
      <c r="Q820" s="12"/>
    </row>
    <row r="821" spans="17:17" ht="15.75" customHeight="1">
      <c r="Q821" s="12"/>
    </row>
    <row r="822" spans="17:17" ht="15.75" customHeight="1">
      <c r="Q822" s="12"/>
    </row>
    <row r="823" spans="17:17" ht="15.75" customHeight="1">
      <c r="Q823" s="12"/>
    </row>
    <row r="824" spans="17:17" ht="15.75" customHeight="1">
      <c r="Q824" s="12"/>
    </row>
    <row r="825" spans="17:17" ht="15.75" customHeight="1">
      <c r="Q825" s="12"/>
    </row>
    <row r="826" spans="17:17" ht="15.75" customHeight="1">
      <c r="Q826" s="12"/>
    </row>
    <row r="827" spans="17:17" ht="15.75" customHeight="1">
      <c r="Q827" s="12"/>
    </row>
    <row r="828" spans="17:17" ht="15.75" customHeight="1">
      <c r="Q828" s="12"/>
    </row>
    <row r="829" spans="17:17" ht="15.75" customHeight="1">
      <c r="Q829" s="12"/>
    </row>
    <row r="830" spans="17:17" ht="15.75" customHeight="1">
      <c r="Q830" s="12"/>
    </row>
    <row r="831" spans="17:17" ht="15.75" customHeight="1">
      <c r="Q831" s="12"/>
    </row>
    <row r="832" spans="17:17" ht="15.75" customHeight="1">
      <c r="Q832" s="12"/>
    </row>
    <row r="833" spans="17:17" ht="15.75" customHeight="1">
      <c r="Q833" s="12"/>
    </row>
    <row r="834" spans="17:17" ht="15.75" customHeight="1">
      <c r="Q834" s="12"/>
    </row>
    <row r="835" spans="17:17" ht="15.75" customHeight="1">
      <c r="Q835" s="12"/>
    </row>
    <row r="836" spans="17:17" ht="15.75" customHeight="1">
      <c r="Q836" s="12"/>
    </row>
    <row r="837" spans="17:17" ht="15.75" customHeight="1">
      <c r="Q837" s="12"/>
    </row>
    <row r="838" spans="17:17" ht="15.75" customHeight="1">
      <c r="Q838" s="12"/>
    </row>
    <row r="839" spans="17:17" ht="15.75" customHeight="1">
      <c r="Q839" s="12"/>
    </row>
    <row r="840" spans="17:17" ht="15.75" customHeight="1">
      <c r="Q840" s="12"/>
    </row>
    <row r="841" spans="17:17" ht="15.75" customHeight="1">
      <c r="Q841" s="12"/>
    </row>
    <row r="842" spans="17:17" ht="15.75" customHeight="1">
      <c r="Q842" s="12"/>
    </row>
    <row r="843" spans="17:17" ht="15.75" customHeight="1">
      <c r="Q843" s="12"/>
    </row>
    <row r="844" spans="17:17" ht="15.75" customHeight="1">
      <c r="Q844" s="12"/>
    </row>
    <row r="845" spans="17:17" ht="15.75" customHeight="1">
      <c r="Q845" s="12"/>
    </row>
    <row r="846" spans="17:17" ht="15.75" customHeight="1">
      <c r="Q846" s="12"/>
    </row>
    <row r="847" spans="17:17" ht="15.75" customHeight="1">
      <c r="Q847" s="12"/>
    </row>
    <row r="848" spans="17:17" ht="15.75" customHeight="1">
      <c r="Q848" s="12"/>
    </row>
    <row r="849" spans="17:17" ht="15.75" customHeight="1">
      <c r="Q849" s="12"/>
    </row>
    <row r="850" spans="17:17" ht="15.75" customHeight="1">
      <c r="Q850" s="12"/>
    </row>
    <row r="851" spans="17:17" ht="15.75" customHeight="1">
      <c r="Q851" s="12"/>
    </row>
    <row r="852" spans="17:17" ht="15.75" customHeight="1">
      <c r="Q852" s="12"/>
    </row>
    <row r="853" spans="17:17" ht="15.75" customHeight="1">
      <c r="Q853" s="12"/>
    </row>
    <row r="854" spans="17:17" ht="15.75" customHeight="1">
      <c r="Q854" s="12"/>
    </row>
    <row r="855" spans="17:17" ht="15.75" customHeight="1">
      <c r="Q855" s="12"/>
    </row>
    <row r="856" spans="17:17" ht="15.75" customHeight="1">
      <c r="Q856" s="12"/>
    </row>
    <row r="857" spans="17:17" ht="15.75" customHeight="1">
      <c r="Q857" s="12"/>
    </row>
    <row r="858" spans="17:17" ht="15.75" customHeight="1">
      <c r="Q858" s="12"/>
    </row>
    <row r="859" spans="17:17" ht="15.75" customHeight="1">
      <c r="Q859" s="12"/>
    </row>
    <row r="860" spans="17:17" ht="15.75" customHeight="1">
      <c r="Q860" s="12"/>
    </row>
    <row r="861" spans="17:17" ht="15.75" customHeight="1">
      <c r="Q861" s="12"/>
    </row>
    <row r="862" spans="17:17" ht="15.75" customHeight="1">
      <c r="Q862" s="12"/>
    </row>
    <row r="863" spans="17:17" ht="15.75" customHeight="1">
      <c r="Q863" s="12"/>
    </row>
    <row r="864" spans="17:17" ht="15.75" customHeight="1">
      <c r="Q864" s="12"/>
    </row>
    <row r="865" spans="17:17" ht="15.75" customHeight="1">
      <c r="Q865" s="12"/>
    </row>
    <row r="866" spans="17:17" ht="15.75" customHeight="1">
      <c r="Q866" s="12"/>
    </row>
    <row r="867" spans="17:17" ht="15.75" customHeight="1">
      <c r="Q867" s="12"/>
    </row>
    <row r="868" spans="17:17" ht="15.75" customHeight="1">
      <c r="Q868" s="12"/>
    </row>
    <row r="869" spans="17:17" ht="15.75" customHeight="1">
      <c r="Q869" s="12"/>
    </row>
    <row r="870" spans="17:17" ht="15.75" customHeight="1">
      <c r="Q870" s="12"/>
    </row>
    <row r="871" spans="17:17" ht="15.75" customHeight="1">
      <c r="Q871" s="12"/>
    </row>
    <row r="872" spans="17:17" ht="15.75" customHeight="1">
      <c r="Q872" s="12"/>
    </row>
    <row r="873" spans="17:17" ht="15.75" customHeight="1">
      <c r="Q873" s="12"/>
    </row>
    <row r="874" spans="17:17" ht="15.75" customHeight="1">
      <c r="Q874" s="12"/>
    </row>
    <row r="875" spans="17:17" ht="15.75" customHeight="1">
      <c r="Q875" s="12"/>
    </row>
    <row r="876" spans="17:17" ht="15.75" customHeight="1">
      <c r="Q876" s="12"/>
    </row>
    <row r="877" spans="17:17" ht="15.75" customHeight="1">
      <c r="Q877" s="12"/>
    </row>
    <row r="878" spans="17:17" ht="15.75" customHeight="1">
      <c r="Q878" s="12"/>
    </row>
    <row r="879" spans="17:17" ht="15.75" customHeight="1">
      <c r="Q879" s="12"/>
    </row>
    <row r="880" spans="17:17" ht="15.75" customHeight="1">
      <c r="Q880" s="12"/>
    </row>
    <row r="881" spans="17:17" ht="15.75" customHeight="1">
      <c r="Q881" s="12"/>
    </row>
    <row r="882" spans="17:17" ht="15.75" customHeight="1">
      <c r="Q882" s="12"/>
    </row>
    <row r="883" spans="17:17" ht="15.75" customHeight="1">
      <c r="Q883" s="12"/>
    </row>
    <row r="884" spans="17:17" ht="15.75" customHeight="1">
      <c r="Q884" s="12"/>
    </row>
    <row r="885" spans="17:17" ht="15.75" customHeight="1">
      <c r="Q885" s="12"/>
    </row>
    <row r="886" spans="17:17" ht="15.75" customHeight="1">
      <c r="Q886" s="12"/>
    </row>
    <row r="887" spans="17:17" ht="15.75" customHeight="1">
      <c r="Q887" s="12"/>
    </row>
    <row r="888" spans="17:17" ht="15.75" customHeight="1">
      <c r="Q888" s="12"/>
    </row>
    <row r="889" spans="17:17" ht="15.75" customHeight="1">
      <c r="Q889" s="12"/>
    </row>
    <row r="890" spans="17:17" ht="15.75" customHeight="1">
      <c r="Q890" s="12"/>
    </row>
    <row r="891" spans="17:17" ht="15.75" customHeight="1">
      <c r="Q891" s="12"/>
    </row>
    <row r="892" spans="17:17" ht="15.75" customHeight="1">
      <c r="Q892" s="12"/>
    </row>
    <row r="893" spans="17:17" ht="15.75" customHeight="1">
      <c r="Q893" s="12"/>
    </row>
    <row r="894" spans="17:17" ht="15.75" customHeight="1">
      <c r="Q894" s="12"/>
    </row>
    <row r="895" spans="17:17" ht="15.75" customHeight="1">
      <c r="Q895" s="12"/>
    </row>
    <row r="896" spans="17:17" ht="15.75" customHeight="1">
      <c r="Q896" s="12"/>
    </row>
    <row r="897" spans="17:17" ht="15.75" customHeight="1">
      <c r="Q897" s="12"/>
    </row>
    <row r="898" spans="17:17" ht="15.75" customHeight="1">
      <c r="Q898" s="12"/>
    </row>
    <row r="899" spans="17:17" ht="15.75" customHeight="1">
      <c r="Q899" s="12"/>
    </row>
    <row r="900" spans="17:17" ht="15.75" customHeight="1">
      <c r="Q900" s="12"/>
    </row>
    <row r="901" spans="17:17" ht="15.75" customHeight="1">
      <c r="Q901" s="12"/>
    </row>
    <row r="902" spans="17:17" ht="15.75" customHeight="1">
      <c r="Q902" s="12"/>
    </row>
    <row r="903" spans="17:17" ht="15.75" customHeight="1">
      <c r="Q903" s="12"/>
    </row>
    <row r="904" spans="17:17" ht="15.75" customHeight="1">
      <c r="Q904" s="12"/>
    </row>
    <row r="905" spans="17:17" ht="15.75" customHeight="1">
      <c r="Q905" s="12"/>
    </row>
    <row r="906" spans="17:17" ht="15.75" customHeight="1">
      <c r="Q906" s="12"/>
    </row>
    <row r="907" spans="17:17" ht="15.75" customHeight="1">
      <c r="Q907" s="12"/>
    </row>
    <row r="908" spans="17:17" ht="15.75" customHeight="1">
      <c r="Q908" s="12"/>
    </row>
    <row r="909" spans="17:17" ht="15.75" customHeight="1">
      <c r="Q909" s="12"/>
    </row>
    <row r="910" spans="17:17" ht="15.75" customHeight="1">
      <c r="Q910" s="12"/>
    </row>
    <row r="911" spans="17:17" ht="15.75" customHeight="1">
      <c r="Q911" s="12"/>
    </row>
    <row r="912" spans="17:17" ht="15.75" customHeight="1">
      <c r="Q912" s="12"/>
    </row>
    <row r="913" spans="17:17" ht="15.75" customHeight="1">
      <c r="Q913" s="12"/>
    </row>
    <row r="914" spans="17:17" ht="15.75" customHeight="1">
      <c r="Q914" s="12"/>
    </row>
    <row r="915" spans="17:17" ht="15.75" customHeight="1">
      <c r="Q915" s="12"/>
    </row>
    <row r="916" spans="17:17" ht="15.75" customHeight="1">
      <c r="Q916" s="12"/>
    </row>
    <row r="917" spans="17:17" ht="15.75" customHeight="1">
      <c r="Q917" s="12"/>
    </row>
    <row r="918" spans="17:17" ht="15.75" customHeight="1">
      <c r="Q918" s="12"/>
    </row>
    <row r="919" spans="17:17" ht="15.75" customHeight="1">
      <c r="Q919" s="12"/>
    </row>
    <row r="920" spans="17:17" ht="15.75" customHeight="1">
      <c r="Q920" s="12"/>
    </row>
    <row r="921" spans="17:17" ht="15.75" customHeight="1">
      <c r="Q921" s="12"/>
    </row>
    <row r="922" spans="17:17" ht="15.75" customHeight="1">
      <c r="Q922" s="12"/>
    </row>
    <row r="923" spans="17:17" ht="15.75" customHeight="1">
      <c r="Q923" s="12"/>
    </row>
    <row r="924" spans="17:17" ht="15.75" customHeight="1">
      <c r="Q924" s="12"/>
    </row>
    <row r="925" spans="17:17" ht="15.75" customHeight="1">
      <c r="Q925" s="12"/>
    </row>
    <row r="926" spans="17:17" ht="15.75" customHeight="1">
      <c r="Q926" s="12"/>
    </row>
    <row r="927" spans="17:17" ht="15.75" customHeight="1">
      <c r="Q927" s="12"/>
    </row>
    <row r="928" spans="17:17" ht="15.75" customHeight="1">
      <c r="Q928" s="12"/>
    </row>
    <row r="929" spans="17:17" ht="15.75" customHeight="1">
      <c r="Q929" s="12"/>
    </row>
    <row r="930" spans="17:17" ht="15.75" customHeight="1">
      <c r="Q930" s="12"/>
    </row>
    <row r="931" spans="17:17" ht="15.75" customHeight="1">
      <c r="Q931" s="12"/>
    </row>
    <row r="932" spans="17:17" ht="15.75" customHeight="1">
      <c r="Q932" s="12"/>
    </row>
    <row r="933" spans="17:17" ht="15.75" customHeight="1">
      <c r="Q933" s="12"/>
    </row>
    <row r="934" spans="17:17" ht="15.75" customHeight="1">
      <c r="Q934" s="12"/>
    </row>
    <row r="935" spans="17:17" ht="15.75" customHeight="1">
      <c r="Q935" s="12"/>
    </row>
    <row r="936" spans="17:17" ht="15.75" customHeight="1">
      <c r="Q936" s="12"/>
    </row>
    <row r="937" spans="17:17" ht="15.75" customHeight="1">
      <c r="Q937" s="12"/>
    </row>
    <row r="938" spans="17:17" ht="15.75" customHeight="1">
      <c r="Q938" s="12"/>
    </row>
    <row r="939" spans="17:17" ht="15.75" customHeight="1">
      <c r="Q939" s="12"/>
    </row>
    <row r="940" spans="17:17" ht="15.75" customHeight="1">
      <c r="Q940" s="12"/>
    </row>
    <row r="941" spans="17:17" ht="15.75" customHeight="1">
      <c r="Q941" s="12"/>
    </row>
    <row r="942" spans="17:17" ht="15.75" customHeight="1">
      <c r="Q942" s="12"/>
    </row>
    <row r="943" spans="17:17" ht="15.75" customHeight="1">
      <c r="Q943" s="12"/>
    </row>
    <row r="944" spans="17:17" ht="15.75" customHeight="1">
      <c r="Q944" s="12"/>
    </row>
    <row r="945" spans="17:17" ht="15.75" customHeight="1">
      <c r="Q945" s="12"/>
    </row>
    <row r="946" spans="17:17" ht="15.75" customHeight="1">
      <c r="Q946" s="12"/>
    </row>
    <row r="947" spans="17:17" ht="15.75" customHeight="1">
      <c r="Q947" s="12"/>
    </row>
    <row r="948" spans="17:17" ht="15.75" customHeight="1">
      <c r="Q948" s="12"/>
    </row>
    <row r="949" spans="17:17" ht="15.75" customHeight="1">
      <c r="Q949" s="12"/>
    </row>
    <row r="950" spans="17:17" ht="15.75" customHeight="1">
      <c r="Q950" s="12"/>
    </row>
    <row r="951" spans="17:17" ht="15.75" customHeight="1">
      <c r="Q951" s="12"/>
    </row>
    <row r="952" spans="17:17" ht="15.75" customHeight="1">
      <c r="Q952" s="12"/>
    </row>
    <row r="953" spans="17:17" ht="15.75" customHeight="1">
      <c r="Q953" s="12"/>
    </row>
    <row r="954" spans="17:17" ht="15.75" customHeight="1">
      <c r="Q954" s="12"/>
    </row>
    <row r="955" spans="17:17" ht="15.75" customHeight="1">
      <c r="Q955" s="12"/>
    </row>
    <row r="956" spans="17:17" ht="15.75" customHeight="1">
      <c r="Q956" s="12"/>
    </row>
    <row r="957" spans="17:17" ht="15.75" customHeight="1">
      <c r="Q957" s="12"/>
    </row>
    <row r="958" spans="17:17" ht="15.75" customHeight="1">
      <c r="Q958" s="12"/>
    </row>
    <row r="959" spans="17:17" ht="15.75" customHeight="1">
      <c r="Q959" s="12"/>
    </row>
    <row r="960" spans="17:17" ht="15.75" customHeight="1">
      <c r="Q960" s="12"/>
    </row>
    <row r="961" spans="17:17" ht="15.75" customHeight="1">
      <c r="Q961" s="12"/>
    </row>
    <row r="962" spans="17:17" ht="15.75" customHeight="1">
      <c r="Q962" s="12"/>
    </row>
    <row r="963" spans="17:17" ht="15.75" customHeight="1">
      <c r="Q963" s="12"/>
    </row>
    <row r="964" spans="17:17" ht="15.75" customHeight="1">
      <c r="Q964" s="12"/>
    </row>
    <row r="965" spans="17:17" ht="15.75" customHeight="1">
      <c r="Q965" s="12"/>
    </row>
    <row r="966" spans="17:17" ht="15.75" customHeight="1">
      <c r="Q966" s="12"/>
    </row>
    <row r="967" spans="17:17" ht="15.75" customHeight="1">
      <c r="Q967" s="12"/>
    </row>
    <row r="968" spans="17:17" ht="15.75" customHeight="1">
      <c r="Q968" s="12"/>
    </row>
    <row r="969" spans="17:17" ht="15.75" customHeight="1">
      <c r="Q969" s="12"/>
    </row>
    <row r="970" spans="17:17" ht="15.75" customHeight="1">
      <c r="Q970" s="12"/>
    </row>
    <row r="971" spans="17:17" ht="15.75" customHeight="1">
      <c r="Q971" s="12"/>
    </row>
    <row r="972" spans="17:17" ht="15.75" customHeight="1">
      <c r="Q972" s="12"/>
    </row>
    <row r="973" spans="17:17" ht="15.75" customHeight="1">
      <c r="Q973" s="12"/>
    </row>
    <row r="974" spans="17:17" ht="15.75" customHeight="1">
      <c r="Q974" s="12"/>
    </row>
    <row r="975" spans="17:17" ht="15.75" customHeight="1">
      <c r="Q975" s="12"/>
    </row>
    <row r="976" spans="17:17" ht="15.75" customHeight="1">
      <c r="Q976" s="12"/>
    </row>
    <row r="977" spans="17:17" ht="15.75" customHeight="1">
      <c r="Q977" s="12"/>
    </row>
    <row r="978" spans="17:17" ht="15.75" customHeight="1">
      <c r="Q978" s="12"/>
    </row>
    <row r="979" spans="17:17" ht="15.75" customHeight="1">
      <c r="Q979" s="12"/>
    </row>
    <row r="980" spans="17:17" ht="15.75" customHeight="1">
      <c r="Q980" s="12"/>
    </row>
    <row r="981" spans="17:17" ht="15.75" customHeight="1">
      <c r="Q981" s="12"/>
    </row>
    <row r="982" spans="17:17" ht="15.75" customHeight="1">
      <c r="Q982" s="12"/>
    </row>
    <row r="983" spans="17:17" ht="15.75" customHeight="1">
      <c r="Q983" s="12"/>
    </row>
    <row r="984" spans="17:17" ht="15.75" customHeight="1">
      <c r="Q984" s="12"/>
    </row>
    <row r="985" spans="17:17" ht="15.75" customHeight="1">
      <c r="Q985" s="12"/>
    </row>
    <row r="986" spans="17:17" ht="15.75" customHeight="1">
      <c r="Q986" s="12"/>
    </row>
    <row r="987" spans="17:17" ht="15.75" customHeight="1">
      <c r="Q987" s="12"/>
    </row>
    <row r="988" spans="17:17" ht="15.75" customHeight="1">
      <c r="Q988" s="12"/>
    </row>
    <row r="989" spans="17:17" ht="15.75" customHeight="1">
      <c r="Q989" s="12"/>
    </row>
    <row r="990" spans="17:17" ht="15.75" customHeight="1">
      <c r="Q990" s="12"/>
    </row>
    <row r="991" spans="17:17" ht="15.75" customHeight="1">
      <c r="Q991" s="12"/>
    </row>
    <row r="992" spans="17:17" ht="15.75" customHeight="1">
      <c r="Q992" s="12"/>
    </row>
    <row r="993" spans="17:17" ht="15.75" customHeight="1">
      <c r="Q993" s="12"/>
    </row>
    <row r="994" spans="17:17" ht="15.75" customHeight="1">
      <c r="Q994" s="12"/>
    </row>
    <row r="995" spans="17:17" ht="15.75" customHeight="1">
      <c r="Q995" s="12"/>
    </row>
    <row r="996" spans="17:17" ht="15.75" customHeight="1">
      <c r="Q996" s="12"/>
    </row>
    <row r="997" spans="17:17" ht="15.75" customHeight="1">
      <c r="Q997" s="12"/>
    </row>
    <row r="998" spans="17:17" ht="15.75" customHeight="1">
      <c r="Q998" s="12"/>
    </row>
    <row r="999" spans="17:17" ht="15.75" customHeight="1">
      <c r="Q999" s="12"/>
    </row>
    <row r="1000" spans="17:17" ht="15.75" customHeight="1">
      <c r="Q1000" s="12"/>
    </row>
  </sheetData>
  <mergeCells count="1">
    <mergeCell ref="C2:E2"/>
  </mergeCells>
  <phoneticPr fontId="10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63A2-9BE0-440A-85D3-17E1DA3C24A0}">
  <sheetPr>
    <outlinePr summaryBelow="0"/>
  </sheetPr>
  <dimension ref="B1:G12"/>
  <sheetViews>
    <sheetView showGridLines="0" workbookViewId="0">
      <selection activeCell="G18" sqref="G18"/>
    </sheetView>
  </sheetViews>
  <sheetFormatPr defaultRowHeight="14.4" outlineLevelRow="1" outlineLevelCol="1"/>
  <cols>
    <col min="3" max="3" width="5.21875" bestFit="1" customWidth="1"/>
    <col min="4" max="7" width="13.44140625" bestFit="1" customWidth="1" outlineLevel="1"/>
  </cols>
  <sheetData>
    <row r="1" spans="2:7" ht="15" thickBot="1"/>
    <row r="2" spans="2:7" ht="15.6">
      <c r="B2" s="28" t="s">
        <v>1755</v>
      </c>
      <c r="C2" s="28"/>
      <c r="D2" s="33"/>
      <c r="E2" s="33"/>
      <c r="F2" s="33"/>
      <c r="G2" s="33"/>
    </row>
    <row r="3" spans="2:7" ht="15.6" collapsed="1">
      <c r="B3" s="27"/>
      <c r="C3" s="27"/>
      <c r="D3" s="34" t="s">
        <v>1757</v>
      </c>
      <c r="E3" s="34" t="s">
        <v>1751</v>
      </c>
      <c r="F3" s="34" t="s">
        <v>1753</v>
      </c>
      <c r="G3" s="34" t="s">
        <v>1754</v>
      </c>
    </row>
    <row r="4" spans="2:7" ht="21.6" hidden="1" outlineLevel="1">
      <c r="B4" s="30"/>
      <c r="C4" s="30"/>
      <c r="D4" s="25"/>
      <c r="E4" s="36" t="s">
        <v>1752</v>
      </c>
      <c r="F4" s="36" t="s">
        <v>1752</v>
      </c>
      <c r="G4" s="36" t="s">
        <v>1752</v>
      </c>
    </row>
    <row r="5" spans="2:7">
      <c r="B5" s="31" t="s">
        <v>1756</v>
      </c>
      <c r="C5" s="31"/>
      <c r="D5" s="29"/>
      <c r="E5" s="29"/>
      <c r="F5" s="29"/>
      <c r="G5" s="29"/>
    </row>
    <row r="6" spans="2:7" outlineLevel="1">
      <c r="B6" s="30"/>
      <c r="C6" s="30" t="s">
        <v>1748</v>
      </c>
      <c r="D6" s="25">
        <v>100</v>
      </c>
      <c r="E6" s="35">
        <v>50</v>
      </c>
      <c r="F6" s="35">
        <v>25</v>
      </c>
      <c r="G6" s="35">
        <v>100</v>
      </c>
    </row>
    <row r="7" spans="2:7" outlineLevel="1">
      <c r="B7" s="30"/>
      <c r="C7" s="30" t="s">
        <v>1749</v>
      </c>
      <c r="D7" s="25">
        <v>15</v>
      </c>
      <c r="E7" s="35">
        <v>20</v>
      </c>
      <c r="F7" s="35">
        <v>25</v>
      </c>
      <c r="G7" s="35">
        <v>15</v>
      </c>
    </row>
    <row r="8" spans="2:7">
      <c r="B8" s="31" t="s">
        <v>1758</v>
      </c>
      <c r="C8" s="31"/>
      <c r="D8" s="29"/>
      <c r="E8" s="29"/>
      <c r="F8" s="29"/>
      <c r="G8" s="29"/>
    </row>
    <row r="9" spans="2:7" ht="15" outlineLevel="1" thickBot="1">
      <c r="B9" s="32"/>
      <c r="C9" s="32" t="s">
        <v>1750</v>
      </c>
      <c r="D9" s="26">
        <v>1500</v>
      </c>
      <c r="E9" s="26">
        <v>1000</v>
      </c>
      <c r="F9" s="26">
        <v>625</v>
      </c>
      <c r="G9" s="26">
        <v>1500</v>
      </c>
    </row>
    <row r="10" spans="2:7">
      <c r="B10" t="s">
        <v>1759</v>
      </c>
    </row>
    <row r="11" spans="2:7">
      <c r="B11" t="s">
        <v>1760</v>
      </c>
    </row>
    <row r="12" spans="2:7">
      <c r="B12" t="s">
        <v>1761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000"/>
  <sheetViews>
    <sheetView workbookViewId="0">
      <selection activeCell="C6" sqref="C6"/>
    </sheetView>
  </sheetViews>
  <sheetFormatPr defaultColWidth="12.6640625" defaultRowHeight="15" customHeight="1"/>
  <cols>
    <col min="1" max="1" width="20.77734375" customWidth="1"/>
    <col min="2" max="2" width="17.109375" customWidth="1"/>
    <col min="3" max="3" width="14.33203125" customWidth="1"/>
    <col min="4" max="4" width="8.6640625" customWidth="1"/>
    <col min="5" max="5" width="11.21875" customWidth="1"/>
    <col min="6" max="6" width="11.77734375" customWidth="1"/>
    <col min="7" max="7" width="14.33203125" customWidth="1"/>
    <col min="8" max="26" width="8.6640625" customWidth="1"/>
  </cols>
  <sheetData>
    <row r="1" spans="2:8" ht="14.4">
      <c r="B1" s="37" t="s">
        <v>320</v>
      </c>
      <c r="C1" s="38"/>
      <c r="E1" s="16"/>
      <c r="F1" s="16"/>
      <c r="G1" s="3" t="s">
        <v>329</v>
      </c>
      <c r="H1" s="3" t="s">
        <v>331</v>
      </c>
    </row>
    <row r="2" spans="2:8" ht="14.4">
      <c r="E2" s="17" t="s">
        <v>333</v>
      </c>
      <c r="F2" s="17" t="s">
        <v>336</v>
      </c>
      <c r="G2" s="17">
        <v>25</v>
      </c>
      <c r="H2" s="17">
        <v>25</v>
      </c>
    </row>
    <row r="3" spans="2:8" ht="14.4">
      <c r="E3" s="17" t="s">
        <v>338</v>
      </c>
      <c r="F3" s="17" t="s">
        <v>339</v>
      </c>
      <c r="G3" s="17">
        <v>100</v>
      </c>
      <c r="H3" s="17">
        <v>15</v>
      </c>
    </row>
    <row r="4" spans="2:8" ht="14.4">
      <c r="B4" s="3" t="s">
        <v>329</v>
      </c>
      <c r="C4" s="18">
        <v>100</v>
      </c>
    </row>
    <row r="5" spans="2:8" ht="14.4">
      <c r="B5" s="3" t="s">
        <v>331</v>
      </c>
      <c r="C5" s="18">
        <v>15</v>
      </c>
    </row>
    <row r="6" spans="2:8" ht="14.4">
      <c r="B6" s="3" t="s">
        <v>347</v>
      </c>
      <c r="C6" s="4">
        <f>C4*C5</f>
        <v>1500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cenarios current="2" show="2" sqref="C6">
    <scenario name="current scenario" locked="1" count="2" user="FATHIMA MA" comment="Created by FATHIMA MA on 19-10-2026">
      <inputCells r="C4" val="50"/>
      <inputCells r="C5" val="20"/>
    </scenario>
    <scenario name="low quantity" locked="1" count="2" user="FATHIMA MA" comment="Created by FATHIMA MA on 19-10-2026">
      <inputCells r="C4" val="25"/>
      <inputCells r="C5" val="25"/>
    </scenario>
    <scenario name="high quantity" locked="1" count="2" user="FATHIMA MA" comment="Created by FATHIMA MA on 19-10-2026">
      <inputCells r="C4" val="100"/>
      <inputCells r="C5" val="15"/>
    </scenario>
  </scenarios>
  <mergeCells count="1">
    <mergeCell ref="B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Today</vt:lpstr>
      <vt:lpstr>1.Splitting and merging data</vt:lpstr>
      <vt:lpstr>2.Data Validation</vt:lpstr>
      <vt:lpstr>Validation Lists</vt:lpstr>
      <vt:lpstr>5.moving unnecessary characters</vt:lpstr>
      <vt:lpstr>6.Conditional formatting</vt:lpstr>
      <vt:lpstr>3.Data transformation</vt:lpstr>
      <vt:lpstr>Scenario Summary</vt:lpstr>
      <vt:lpstr>4.Scenario_Main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fathima ma</cp:lastModifiedBy>
  <dcterms:created xsi:type="dcterms:W3CDTF">2026-03-19T04:47:05Z</dcterms:created>
  <dcterms:modified xsi:type="dcterms:W3CDTF">2026-10-19T16:43:32Z</dcterms:modified>
</cp:coreProperties>
</file>