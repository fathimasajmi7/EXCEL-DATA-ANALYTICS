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288" documentId="8_{B0EFE553-78EF-4F3B-8A69-54E7CF3735A9}" xr6:coauthVersionLast="47" xr6:coauthVersionMax="47" xr10:uidLastSave="{5C69214E-5922-411B-BCF8-264FF24D8B43}"/>
  <bookViews>
    <workbookView xWindow="-108" yWindow="-108" windowWidth="23256" windowHeight="12456" firstSheet="2" activeTab="6" xr2:uid="{00000000-000D-0000-FFFF-FFFF00000000}"/>
  </bookViews>
  <sheets>
    <sheet name="Today" sheetId="1" r:id="rId1"/>
    <sheet name="Data exploration &amp; Summary" sheetId="2" r:id="rId2"/>
    <sheet name="Summery statistics" sheetId="3" r:id="rId3"/>
    <sheet name="Descriptive stati." sheetId="4" r:id="rId4"/>
    <sheet name="Sheet1" sheetId="7" r:id="rId5"/>
    <sheet name="Data Analysis Tool Pack" sheetId="5" r:id="rId6"/>
    <sheet name="Filter" sheetId="6" r:id="rId7"/>
  </sheets>
  <definedNames>
    <definedName name="_xlnm._FilterDatabase" localSheetId="6" hidden="1">Filter!$C$3:$J$23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BSX+jnhcINCNyLYgrw6A05L/DL6aR/ffsh1Hhwyz0k="/>
    </ext>
  </extLst>
</workbook>
</file>

<file path=xl/calcChain.xml><?xml version="1.0" encoding="utf-8"?>
<calcChain xmlns="http://schemas.openxmlformats.org/spreadsheetml/2006/main">
  <c r="M16" i="3" l="1"/>
  <c r="K15" i="3"/>
  <c r="K9" i="3"/>
  <c r="K10" i="3"/>
  <c r="K14" i="3"/>
  <c r="K13" i="3"/>
  <c r="K12" i="3"/>
  <c r="K11" i="3"/>
</calcChain>
</file>

<file path=xl/sharedStrings.xml><?xml version="1.0" encoding="utf-8"?>
<sst xmlns="http://schemas.openxmlformats.org/spreadsheetml/2006/main" count="379" uniqueCount="129">
  <si>
    <t>DATA EXPLORATIONS</t>
  </si>
  <si>
    <t>Central Tendency( Summerizing and understanding our data)</t>
  </si>
  <si>
    <t>Mean( Average)</t>
  </si>
  <si>
    <t>Median</t>
  </si>
  <si>
    <t>Mode</t>
  </si>
  <si>
    <t>Summary Statistics</t>
  </si>
  <si>
    <t>Quick Over view of the main charecteristics of the data</t>
  </si>
  <si>
    <t>Data exploration and summary statistics</t>
  </si>
  <si>
    <t>central tendency, Spread, Shape</t>
  </si>
  <si>
    <t xml:space="preserve"> Filtering and Sorting data in excel</t>
  </si>
  <si>
    <t>Descriptive Statistics</t>
  </si>
  <si>
    <t>Mean,  standard deviation, etc  using Analysis ToolPak</t>
  </si>
  <si>
    <t>📊 Descriptive Statistics</t>
  </si>
  <si>
    <t xml:space="preserve">🧠 </t>
  </si>
  <si>
    <t>Name</t>
  </si>
  <si>
    <t>Favorite Course</t>
  </si>
  <si>
    <r>
      <rPr>
        <b/>
        <sz val="11"/>
        <color theme="1"/>
        <rFont val="Aptos Narrow"/>
      </rPr>
      <t>Descriptive Statistics</t>
    </r>
    <r>
      <rPr>
        <sz val="11"/>
        <color theme="1"/>
        <rFont val="Aptos Narrow"/>
      </rPr>
      <t xml:space="preserve"> is used to </t>
    </r>
    <r>
      <rPr>
        <b/>
        <sz val="11"/>
        <color theme="1"/>
        <rFont val="Aptos Narrow"/>
      </rPr>
      <t>summarize, organize, and describe data</t>
    </r>
    <r>
      <rPr>
        <sz val="11"/>
        <color theme="1"/>
        <rFont val="Aptos Narrow"/>
      </rPr>
      <t xml:space="preserve"> in a meaningful way.</t>
    </r>
  </si>
  <si>
    <t>It helps to understand:</t>
  </si>
  <si>
    <t>Arun</t>
  </si>
  <si>
    <t>Meera</t>
  </si>
  <si>
    <t>Power BI</t>
  </si>
  <si>
    <t>Central value of data</t>
  </si>
  <si>
    <t>Rahul</t>
  </si>
  <si>
    <t>Spread of data</t>
  </si>
  <si>
    <t>Anjali</t>
  </si>
  <si>
    <t>Distribution pattern</t>
  </si>
  <si>
    <t>Python</t>
  </si>
  <si>
    <t>🔹 Types of Descriptive Statistics</t>
  </si>
  <si>
    <t>Suresh</t>
  </si>
  <si>
    <t>Excel</t>
  </si>
  <si>
    <t>1. Measures of Central Tendency</t>
  </si>
  <si>
    <t>SUMMERY STATISTICS</t>
  </si>
  <si>
    <r>
      <rPr>
        <sz val="11"/>
        <color theme="1"/>
        <rFont val="Aptos Narrow"/>
      </rPr>
      <t xml:space="preserve">👉 Shows the </t>
    </r>
    <r>
      <rPr>
        <b/>
        <sz val="11"/>
        <color theme="1"/>
        <rFont val="Aptos Narrow"/>
      </rPr>
      <t>center value</t>
    </r>
    <r>
      <rPr>
        <sz val="11"/>
        <color theme="1"/>
        <rFont val="Aptos Narrow"/>
      </rPr>
      <t xml:space="preserve"> of data</t>
    </r>
  </si>
  <si>
    <r>
      <rPr>
        <b/>
        <sz val="11"/>
        <color theme="1"/>
        <rFont val="Aptos Narrow"/>
      </rPr>
      <t>Mean (Average)</t>
    </r>
    <r>
      <rPr>
        <sz val="11"/>
        <color theme="1"/>
        <rFont val="Aptos Narrow"/>
      </rPr>
      <t xml:space="preserve"> → Sum of values / Total values</t>
    </r>
  </si>
  <si>
    <r>
      <rPr>
        <b/>
        <sz val="11"/>
        <color theme="1"/>
        <rFont val="Aptos Narrow"/>
      </rPr>
      <t>Median</t>
    </r>
    <r>
      <rPr>
        <sz val="11"/>
        <color theme="1"/>
        <rFont val="Aptos Narrow"/>
      </rPr>
      <t xml:space="preserve"> → Middle value after sorting</t>
    </r>
  </si>
  <si>
    <t>Divya</t>
  </si>
  <si>
    <t>Mean</t>
  </si>
  <si>
    <r>
      <rPr>
        <b/>
        <sz val="11"/>
        <color theme="1"/>
        <rFont val="Aptos Narrow"/>
      </rPr>
      <t>Mode</t>
    </r>
    <r>
      <rPr>
        <sz val="11"/>
        <color theme="1"/>
        <rFont val="Aptos Narrow"/>
      </rPr>
      <t xml:space="preserve"> → Most frequent value</t>
    </r>
  </si>
  <si>
    <t>2. Measures of Dispersion</t>
  </si>
  <si>
    <r>
      <rPr>
        <sz val="11"/>
        <color theme="1"/>
        <rFont val="Aptos Narrow"/>
      </rPr>
      <t xml:space="preserve">👉 Shows how data is </t>
    </r>
    <r>
      <rPr>
        <b/>
        <sz val="11"/>
        <color theme="1"/>
        <rFont val="Aptos Narrow"/>
      </rPr>
      <t>spread</t>
    </r>
  </si>
  <si>
    <r>
      <rPr>
        <b/>
        <sz val="11"/>
        <color theme="1"/>
        <rFont val="Aptos Narrow"/>
      </rPr>
      <t>Range</t>
    </r>
    <r>
      <rPr>
        <sz val="11"/>
        <color theme="1"/>
        <rFont val="Aptos Narrow"/>
      </rPr>
      <t xml:space="preserve"> → Max – Min</t>
    </r>
  </si>
  <si>
    <r>
      <rPr>
        <b/>
        <sz val="11"/>
        <color theme="1"/>
        <rFont val="Aptos Narrow"/>
      </rPr>
      <t>Variance</t>
    </r>
    <r>
      <rPr>
        <sz val="11"/>
        <color theme="1"/>
        <rFont val="Aptos Narrow"/>
      </rPr>
      <t xml:space="preserve"> → Spread of data from mean</t>
    </r>
  </si>
  <si>
    <r>
      <rPr>
        <b/>
        <sz val="11"/>
        <color theme="1"/>
        <rFont val="Aptos Narrow"/>
      </rPr>
      <t>Standard Deviation</t>
    </r>
    <r>
      <rPr>
        <sz val="11"/>
        <color theme="1"/>
        <rFont val="Aptos Narrow"/>
      </rPr>
      <t xml:space="preserve"> → Average deviation from mean</t>
    </r>
  </si>
  <si>
    <t xml:space="preserve">📊 Sample Dataset </t>
  </si>
  <si>
    <t>Student</t>
  </si>
  <si>
    <t>Marks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</si>
  <si>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</si>
  <si>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</si>
  <si>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</si>
  <si>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</si>
  <si>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</si>
  <si>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</si>
  <si>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</si>
  <si>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</si>
  <si>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</si>
  <si>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</si>
  <si>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Kiran</t>
  </si>
  <si>
    <t>📈 Example Calculations</t>
  </si>
  <si>
    <r>
      <rPr>
        <b/>
        <sz val="11"/>
        <color theme="1"/>
        <rFont val="Aptos Narrow"/>
      </rPr>
      <t>Mean</t>
    </r>
    <r>
      <rPr>
        <sz val="11"/>
        <color theme="1"/>
        <rFont val="Aptos Narrow"/>
      </rPr>
      <t xml:space="preserve"> = (Sum of marks) / 10 = </t>
    </r>
    <r>
      <rPr>
        <b/>
        <sz val="11"/>
        <color theme="1"/>
        <rFont val="Aptos Narrow"/>
      </rPr>
      <t>67.5</t>
    </r>
  </si>
  <si>
    <r>
      <rPr>
        <b/>
        <sz val="11"/>
        <color theme="1"/>
        <rFont val="Aptos Narrow"/>
      </rPr>
      <t>Median</t>
    </r>
    <r>
      <rPr>
        <sz val="11"/>
        <color theme="1"/>
        <rFont val="Aptos Narrow"/>
      </rPr>
      <t xml:space="preserve"> = (65 + 70) / 2 = </t>
    </r>
    <r>
      <rPr>
        <b/>
        <sz val="11"/>
        <color theme="1"/>
        <rFont val="Aptos Narrow"/>
      </rPr>
      <t>67.5</t>
    </r>
  </si>
  <si>
    <r>
      <rPr>
        <b/>
        <sz val="11"/>
        <color theme="1"/>
        <rFont val="Aptos Narrow"/>
      </rPr>
      <t>Mode</t>
    </r>
    <r>
      <rPr>
        <sz val="11"/>
        <color theme="1"/>
        <rFont val="Aptos Narrow"/>
      </rPr>
      <t xml:space="preserve"> = No repetition → No mode</t>
    </r>
  </si>
  <si>
    <r>
      <rPr>
        <b/>
        <sz val="11"/>
        <color theme="1"/>
        <rFont val="Aptos Narrow"/>
      </rPr>
      <t>Range</t>
    </r>
    <r>
      <rPr>
        <sz val="11"/>
        <color theme="1"/>
        <rFont val="Aptos Narrow"/>
      </rPr>
      <t xml:space="preserve"> = 90 – 45 = </t>
    </r>
    <r>
      <rPr>
        <b/>
        <sz val="11"/>
        <color theme="1"/>
        <rFont val="Aptos Narrow"/>
      </rPr>
      <t>45</t>
    </r>
  </si>
  <si>
    <t>Akash</t>
  </si>
  <si>
    <t>💻 Excel Functions</t>
  </si>
  <si>
    <t>Standard deviation</t>
  </si>
  <si>
    <r>
      <rPr>
        <sz val="11"/>
        <color theme="1"/>
        <rFont val="Aptos Narrow"/>
      </rPr>
      <t xml:space="preserve">Mean → </t>
    </r>
    <r>
      <rPr>
        <sz val="10"/>
        <color theme="1"/>
        <rFont val="Arial Unicode MS"/>
      </rPr>
      <t>=AVERAGE(range)</t>
    </r>
  </si>
  <si>
    <t>Priya</t>
  </si>
  <si>
    <t>Mininum</t>
  </si>
  <si>
    <r>
      <rPr>
        <sz val="11"/>
        <color theme="1"/>
        <rFont val="Aptos Narrow"/>
      </rPr>
      <t xml:space="preserve">Median → </t>
    </r>
    <r>
      <rPr>
        <sz val="10"/>
        <color theme="1"/>
        <rFont val="Arial Unicode MS"/>
      </rPr>
      <t>=MEDIAN(range)</t>
    </r>
  </si>
  <si>
    <r>
      <rPr>
        <sz val="11"/>
        <color theme="1"/>
        <rFont val="Aptos Narrow"/>
      </rPr>
      <t xml:space="preserve">Mode → </t>
    </r>
    <r>
      <rPr>
        <sz val="10"/>
        <color theme="1"/>
        <rFont val="Arial Unicode MS"/>
      </rPr>
      <t>=MODE(range)</t>
    </r>
  </si>
  <si>
    <r>
      <rPr>
        <sz val="11"/>
        <color theme="1"/>
        <rFont val="Aptos Narrow"/>
      </rPr>
      <t xml:space="preserve">Standard Deviation → </t>
    </r>
    <r>
      <rPr>
        <sz val="10"/>
        <color theme="1"/>
        <rFont val="Arial Unicode MS"/>
      </rPr>
      <t>=STDEV(range)</t>
    </r>
  </si>
  <si>
    <t>Ramesh</t>
  </si>
  <si>
    <t>SQL</t>
  </si>
  <si>
    <t>Maximum</t>
  </si>
  <si>
    <t>Sneha</t>
  </si>
  <si>
    <t>Count</t>
  </si>
  <si>
    <t>Ajith</t>
  </si>
  <si>
    <t>Kavya</t>
  </si>
  <si>
    <t>Manoj</t>
  </si>
  <si>
    <t>Asha</t>
  </si>
  <si>
    <t>Nikhil</t>
  </si>
  <si>
    <t>Pooja</t>
  </si>
  <si>
    <t>Vivek</t>
  </si>
  <si>
    <t>Deepa</t>
  </si>
  <si>
    <t>Order ID</t>
  </si>
  <si>
    <t>Amount</t>
  </si>
  <si>
    <t>Quantity</t>
  </si>
  <si>
    <t>Discount (%)</t>
  </si>
  <si>
    <t>Profit</t>
  </si>
  <si>
    <t>Delivery Days</t>
  </si>
  <si>
    <t>FILTER &amp; SORT</t>
  </si>
  <si>
    <t>Date</t>
  </si>
  <si>
    <t>Region</t>
  </si>
  <si>
    <t>Salesperson</t>
  </si>
  <si>
    <t>Product</t>
  </si>
  <si>
    <t>Category</t>
  </si>
  <si>
    <t>Order id</t>
  </si>
  <si>
    <t>Status</t>
  </si>
  <si>
    <t>Column2</t>
  </si>
  <si>
    <t>Column3</t>
  </si>
  <si>
    <t>Column4</t>
  </si>
  <si>
    <t>Column5</t>
  </si>
  <si>
    <t>South</t>
  </si>
  <si>
    <t>Laptop</t>
  </si>
  <si>
    <t>Column6</t>
  </si>
  <si>
    <t>Electronics</t>
  </si>
  <si>
    <t>Completed</t>
  </si>
  <si>
    <t>North</t>
  </si>
  <si>
    <t>Phone</t>
  </si>
  <si>
    <t>Pending</t>
  </si>
  <si>
    <t>East</t>
  </si>
  <si>
    <t>Chair</t>
  </si>
  <si>
    <t>Furniture</t>
  </si>
  <si>
    <t>West</t>
  </si>
  <si>
    <t>Table</t>
  </si>
  <si>
    <t>Cancelled</t>
  </si>
  <si>
    <t>Tablet</t>
  </si>
  <si>
    <t>Standard Error</t>
  </si>
  <si>
    <t>Sofa</t>
  </si>
  <si>
    <t>Neha</t>
  </si>
  <si>
    <t>Standard Deviation</t>
  </si>
  <si>
    <t>Sample Variance</t>
  </si>
  <si>
    <t>Kurtosis</t>
  </si>
  <si>
    <t>Skewness</t>
  </si>
  <si>
    <t>Range</t>
  </si>
  <si>
    <t>Minimum</t>
  </si>
  <si>
    <t>Sum</t>
  </si>
  <si>
    <t>Mark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</si>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</sst>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LiBRY BAR CODE"/>
    </font>
    <font>
      <sz val="11"/>
      <color theme="1"/>
      <name val="CIA CODE 39"/>
    </font>
    <font>
      <b/>
      <sz val="11"/>
      <color theme="1"/>
      <name val="Aptos Narrow"/>
    </font>
    <font>
      <b/>
      <sz val="24"/>
      <color theme="1"/>
      <name val="Aptos Narrow"/>
    </font>
    <font>
      <b/>
      <sz val="18"/>
      <color theme="1"/>
      <name val="Aptos Narrow"/>
    </font>
    <font>
      <sz val="11"/>
      <color theme="1"/>
      <name val="Aptos Narrow"/>
    </font>
    <font>
      <b/>
      <sz val="13"/>
      <color theme="1"/>
      <name val="Aptos Narrow"/>
    </font>
    <font>
      <i/>
      <sz val="11"/>
      <color theme="1"/>
      <name val="Aptos Narrow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D94D8"/>
        <bgColor rgb="FF4D94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2" borderId="2" xfId="0" applyFont="1" applyFill="1" applyBorder="1"/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164" fontId="8" fillId="0" borderId="1" xfId="0" applyNumberFormat="1" applyFont="1" applyBorder="1" applyAlignment="1">
      <alignment vertical="center" wrapText="1"/>
    </xf>
    <xf numFmtId="0" fontId="8" fillId="0" borderId="4" xfId="0" applyFont="1" applyBorder="1"/>
    <xf numFmtId="0" fontId="1" fillId="0" borderId="0" xfId="0" applyFont="1"/>
    <xf numFmtId="0" fontId="12" fillId="0" borderId="0" xfId="0" applyFont="1"/>
    <xf numFmtId="0" fontId="0" fillId="0" borderId="2" xfId="0" applyFill="1" applyBorder="1" applyAlignment="1"/>
    <xf numFmtId="0" fontId="0" fillId="0" borderId="5" xfId="0" applyFill="1" applyBorder="1" applyAlignment="1"/>
    <xf numFmtId="0" fontId="13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1</xdr:row>
      <xdr:rowOff>47625</xdr:rowOff>
    </xdr:from>
    <xdr:ext cx="4191000" cy="1504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000"/>
  <sheetViews>
    <sheetView workbookViewId="0"/>
  </sheetViews>
  <sheetFormatPr defaultColWidth="12.6640625" defaultRowHeight="15" customHeight="1"/>
  <cols>
    <col min="1" max="2" width="8.6640625" customWidth="1"/>
    <col min="3" max="3" width="37.33203125" customWidth="1"/>
    <col min="4" max="6" width="8.6640625" customWidth="1"/>
    <col min="7" max="7" width="11" customWidth="1"/>
    <col min="8" max="8" width="12.33203125" customWidth="1"/>
    <col min="9" max="26" width="8.6640625" customWidth="1"/>
  </cols>
  <sheetData>
    <row r="4" spans="2:10" ht="14.4">
      <c r="H4" s="2"/>
      <c r="J4" s="3"/>
    </row>
    <row r="5" spans="2:10" ht="14.4">
      <c r="B5" s="4">
        <v>1</v>
      </c>
      <c r="C5" s="4" t="s">
        <v>7</v>
      </c>
    </row>
    <row r="6" spans="2:10" ht="14.4">
      <c r="B6" s="4">
        <v>2</v>
      </c>
      <c r="C6" s="4" t="s">
        <v>9</v>
      </c>
    </row>
    <row r="7" spans="2:10" ht="14.4">
      <c r="B7" s="4">
        <v>3</v>
      </c>
      <c r="C7" s="4" t="s">
        <v>10</v>
      </c>
    </row>
    <row r="8" spans="2:10" ht="14.4">
      <c r="B8" s="4">
        <v>4</v>
      </c>
      <c r="C8" s="4" t="s">
        <v>11</v>
      </c>
    </row>
    <row r="9" spans="2:10" ht="14.4">
      <c r="B9" s="4"/>
      <c r="C9" s="4"/>
    </row>
    <row r="10" spans="2:10" ht="14.4">
      <c r="B10" s="4"/>
      <c r="C10" s="4"/>
    </row>
    <row r="11" spans="2:10" ht="14.4">
      <c r="B11" s="4"/>
      <c r="C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1000"/>
  <sheetViews>
    <sheetView workbookViewId="0"/>
  </sheetViews>
  <sheetFormatPr defaultColWidth="12.6640625" defaultRowHeight="15" customHeight="1"/>
  <cols>
    <col min="1" max="2" width="8.6640625" customWidth="1"/>
    <col min="3" max="3" width="54.88671875" customWidth="1"/>
    <col min="4" max="4" width="49.6640625" customWidth="1"/>
    <col min="5" max="26" width="8.6640625" customWidth="1"/>
  </cols>
  <sheetData>
    <row r="2" spans="3:4" ht="14.4">
      <c r="C2" s="1" t="s">
        <v>0</v>
      </c>
    </row>
    <row r="4" spans="3:4" ht="14.4">
      <c r="C4" s="1" t="s">
        <v>1</v>
      </c>
    </row>
    <row r="5" spans="3:4" ht="14.4">
      <c r="D5" s="1" t="s">
        <v>2</v>
      </c>
    </row>
    <row r="6" spans="3:4" ht="14.4">
      <c r="D6" s="1" t="s">
        <v>3</v>
      </c>
    </row>
    <row r="7" spans="3:4" ht="14.4">
      <c r="D7" s="1" t="s">
        <v>4</v>
      </c>
    </row>
    <row r="9" spans="3:4" ht="14.4">
      <c r="C9" s="1" t="s">
        <v>5</v>
      </c>
      <c r="D9" s="1" t="s">
        <v>6</v>
      </c>
    </row>
    <row r="10" spans="3:4" ht="14.4">
      <c r="D10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M999"/>
  <sheetViews>
    <sheetView workbookViewId="0">
      <selection activeCell="L23" sqref="L23"/>
    </sheetView>
  </sheetViews>
  <sheetFormatPr defaultColWidth="12.6640625" defaultRowHeight="15" customHeight="1"/>
  <cols>
    <col min="1" max="7" width="8.6640625" customWidth="1"/>
    <col min="8" max="8" width="19.77734375" customWidth="1"/>
    <col min="9" max="9" width="8.6640625" customWidth="1"/>
    <col min="10" max="10" width="11.77734375" customWidth="1"/>
    <col min="11" max="26" width="8.6640625" customWidth="1"/>
  </cols>
  <sheetData>
    <row r="3" spans="3:13" ht="28.8">
      <c r="C3" s="7" t="s">
        <v>127</v>
      </c>
      <c r="D3" s="7" t="s">
        <v>14</v>
      </c>
      <c r="E3" s="7" t="s">
        <v>15</v>
      </c>
    </row>
    <row r="4" spans="3:13" ht="14.4">
      <c r="C4" s="8">
        <v>1</v>
      </c>
      <c r="D4" s="8" t="s">
        <v>18</v>
      </c>
      <c r="E4" s="8"/>
    </row>
    <row r="5" spans="3:13" ht="14.4">
      <c r="C5" s="8">
        <v>2</v>
      </c>
      <c r="D5" s="8" t="s">
        <v>19</v>
      </c>
      <c r="E5" s="8" t="s">
        <v>20</v>
      </c>
    </row>
    <row r="6" spans="3:13" ht="14.4">
      <c r="C6" s="8">
        <v>3</v>
      </c>
      <c r="D6" s="8" t="s">
        <v>22</v>
      </c>
      <c r="E6" s="8"/>
    </row>
    <row r="7" spans="3:13" ht="14.4">
      <c r="C7" s="8">
        <v>4</v>
      </c>
      <c r="D7" s="8" t="s">
        <v>24</v>
      </c>
      <c r="E7" s="8" t="s">
        <v>26</v>
      </c>
      <c r="H7" s="20" t="s">
        <v>127</v>
      </c>
    </row>
    <row r="8" spans="3:13" ht="14.4">
      <c r="C8" s="8">
        <v>5</v>
      </c>
      <c r="D8" s="8" t="s">
        <v>28</v>
      </c>
      <c r="E8" s="8" t="s">
        <v>29</v>
      </c>
      <c r="H8" s="12" t="s">
        <v>31</v>
      </c>
    </row>
    <row r="9" spans="3:13" ht="14.4">
      <c r="C9" s="8">
        <v>6</v>
      </c>
      <c r="D9" s="8" t="s">
        <v>35</v>
      </c>
      <c r="E9" s="8"/>
      <c r="H9" s="1" t="s">
        <v>36</v>
      </c>
      <c r="J9" s="1"/>
      <c r="K9">
        <f>AVERAGE(C4:C22)</f>
        <v>10.631578947368421</v>
      </c>
    </row>
    <row r="10" spans="3:13" ht="14.4">
      <c r="C10" s="8">
        <v>7</v>
      </c>
      <c r="D10" s="8" t="s">
        <v>56</v>
      </c>
      <c r="E10" s="8"/>
      <c r="H10" s="1" t="s">
        <v>3</v>
      </c>
      <c r="J10" s="1"/>
      <c r="K10">
        <f>MEDIAN(C4:C22)</f>
        <v>11</v>
      </c>
    </row>
    <row r="11" spans="3:13" ht="14.4">
      <c r="C11" s="8">
        <v>9</v>
      </c>
      <c r="D11" s="8" t="s">
        <v>62</v>
      </c>
      <c r="E11" s="8" t="s">
        <v>26</v>
      </c>
      <c r="H11" s="1" t="s">
        <v>64</v>
      </c>
      <c r="K11">
        <f>_xlfn.STDEV.P(C4:C22)</f>
        <v>5.8867426996759731</v>
      </c>
      <c r="M11">
        <v>1</v>
      </c>
    </row>
    <row r="12" spans="3:13" ht="14.4">
      <c r="C12" s="8">
        <v>10</v>
      </c>
      <c r="D12" s="8" t="s">
        <v>66</v>
      </c>
      <c r="E12" s="8"/>
      <c r="H12" s="1" t="s">
        <v>67</v>
      </c>
      <c r="J12" s="1"/>
      <c r="K12">
        <f>MIN(C4:C22)</f>
        <v>1</v>
      </c>
      <c r="M12">
        <v>2</v>
      </c>
    </row>
    <row r="13" spans="3:13" ht="14.4">
      <c r="C13" s="8">
        <v>11</v>
      </c>
      <c r="D13" s="8" t="s">
        <v>71</v>
      </c>
      <c r="E13" s="8" t="s">
        <v>72</v>
      </c>
      <c r="H13" s="1" t="s">
        <v>73</v>
      </c>
      <c r="K13">
        <f>MAX(C4:C22)</f>
        <v>20</v>
      </c>
      <c r="M13">
        <v>2</v>
      </c>
    </row>
    <row r="14" spans="3:13" ht="14.4">
      <c r="C14" s="8">
        <v>12</v>
      </c>
      <c r="D14" s="8" t="s">
        <v>74</v>
      </c>
      <c r="E14" s="8"/>
      <c r="H14" s="1" t="s">
        <v>75</v>
      </c>
      <c r="K14">
        <f>COUNT(C4:C22)</f>
        <v>19</v>
      </c>
      <c r="M14">
        <v>1</v>
      </c>
    </row>
    <row r="15" spans="3:13" ht="14.4">
      <c r="C15" s="8">
        <v>13</v>
      </c>
      <c r="D15" s="8" t="s">
        <v>76</v>
      </c>
      <c r="E15" s="8" t="s">
        <v>20</v>
      </c>
      <c r="H15" s="19" t="s">
        <v>124</v>
      </c>
      <c r="K15">
        <f>C22-C4</f>
        <v>19</v>
      </c>
      <c r="M15">
        <v>2</v>
      </c>
    </row>
    <row r="16" spans="3:13" ht="14.4">
      <c r="C16" s="8">
        <v>14</v>
      </c>
      <c r="D16" s="8" t="s">
        <v>77</v>
      </c>
      <c r="E16" s="8" t="s">
        <v>29</v>
      </c>
      <c r="M16">
        <f>MODE(M11:M15)</f>
        <v>2</v>
      </c>
    </row>
    <row r="17" spans="3:13" ht="14.4">
      <c r="C17" s="8">
        <v>15</v>
      </c>
      <c r="D17" s="8" t="s">
        <v>78</v>
      </c>
      <c r="E17" s="8" t="s">
        <v>26</v>
      </c>
      <c r="M17">
        <v>5</v>
      </c>
    </row>
    <row r="18" spans="3:13" ht="14.4">
      <c r="C18" s="8">
        <v>16</v>
      </c>
      <c r="D18" s="8" t="s">
        <v>79</v>
      </c>
      <c r="E18" s="8"/>
      <c r="M18">
        <v>8</v>
      </c>
    </row>
    <row r="19" spans="3:13" ht="14.4">
      <c r="C19" s="8">
        <v>17</v>
      </c>
      <c r="D19" s="8" t="s">
        <v>80</v>
      </c>
      <c r="E19" s="8" t="s">
        <v>72</v>
      </c>
      <c r="M19">
        <v>1</v>
      </c>
    </row>
    <row r="20" spans="3:13" ht="15.75" customHeight="1">
      <c r="C20" s="8">
        <v>18</v>
      </c>
      <c r="D20" s="8" t="s">
        <v>81</v>
      </c>
      <c r="E20" s="8"/>
      <c r="M20">
        <v>1</v>
      </c>
    </row>
    <row r="21" spans="3:13" ht="15.75" customHeight="1">
      <c r="C21" s="8">
        <v>19</v>
      </c>
      <c r="D21" s="8" t="s">
        <v>82</v>
      </c>
      <c r="E21" s="8" t="s">
        <v>20</v>
      </c>
      <c r="M21">
        <v>1</v>
      </c>
    </row>
    <row r="22" spans="3:13" ht="15.75" customHeight="1">
      <c r="C22" s="8">
        <v>20</v>
      </c>
      <c r="D22" s="8" t="s">
        <v>83</v>
      </c>
      <c r="E22" s="8" t="s">
        <v>29</v>
      </c>
      <c r="M22">
        <v>4</v>
      </c>
    </row>
    <row r="23" spans="3:13" ht="15.75" customHeight="1">
      <c r="L23" s="19" t="s">
        <v>128</v>
      </c>
    </row>
    <row r="24" spans="3:13" ht="15.75" customHeight="1"/>
    <row r="25" spans="3:13" ht="15.75" customHeight="1"/>
    <row r="26" spans="3:13" ht="15.75" customHeight="1"/>
    <row r="27" spans="3:13" ht="15.75" customHeight="1"/>
    <row r="28" spans="3:13" ht="15.75" customHeight="1"/>
    <row r="29" spans="3:13" ht="15.75" customHeight="1"/>
    <row r="30" spans="3:13" ht="15.75" customHeight="1"/>
    <row r="31" spans="3:13" ht="15.75" customHeight="1"/>
    <row r="32" spans="3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D1000"/>
  <sheetViews>
    <sheetView topLeftCell="A16" workbookViewId="0"/>
  </sheetViews>
  <sheetFormatPr defaultColWidth="12.6640625" defaultRowHeight="15" customHeight="1"/>
  <cols>
    <col min="1" max="26" width="8.6640625" customWidth="1"/>
  </cols>
  <sheetData>
    <row r="1" spans="3:3" ht="31.2">
      <c r="C1" s="5" t="s">
        <v>12</v>
      </c>
    </row>
    <row r="3" spans="3:3" ht="23.4">
      <c r="C3" s="6" t="s">
        <v>13</v>
      </c>
    </row>
    <row r="5" spans="3:3" ht="14.4">
      <c r="C5" s="4" t="s">
        <v>16</v>
      </c>
    </row>
    <row r="7" spans="3:3" ht="14.4">
      <c r="C7" s="1" t="s">
        <v>17</v>
      </c>
    </row>
    <row r="8" spans="3:3" ht="14.4">
      <c r="C8" s="9"/>
    </row>
    <row r="9" spans="3:3" ht="14.4">
      <c r="C9" s="9" t="s">
        <v>21</v>
      </c>
    </row>
    <row r="10" spans="3:3" ht="14.4">
      <c r="C10" s="9"/>
    </row>
    <row r="11" spans="3:3" ht="14.4">
      <c r="C11" s="9" t="s">
        <v>23</v>
      </c>
    </row>
    <row r="12" spans="3:3" ht="14.4">
      <c r="C12" s="9"/>
    </row>
    <row r="13" spans="3:3" ht="14.4">
      <c r="C13" s="9" t="s">
        <v>25</v>
      </c>
    </row>
    <row r="17" spans="3:3" ht="23.4">
      <c r="C17" s="6" t="s">
        <v>27</v>
      </c>
    </row>
    <row r="19" spans="3:3" ht="17.399999999999999">
      <c r="C19" s="10" t="s">
        <v>30</v>
      </c>
    </row>
    <row r="21" spans="3:3" ht="15.75" customHeight="1">
      <c r="C21" s="1" t="s">
        <v>32</v>
      </c>
    </row>
    <row r="22" spans="3:3" ht="15.75" customHeight="1">
      <c r="C22" s="9"/>
    </row>
    <row r="23" spans="3:3" ht="15.75" customHeight="1">
      <c r="C23" s="11" t="s">
        <v>33</v>
      </c>
    </row>
    <row r="24" spans="3:3" ht="15.75" customHeight="1">
      <c r="C24" s="9"/>
    </row>
    <row r="25" spans="3:3" ht="15.75" customHeight="1">
      <c r="C25" s="11" t="s">
        <v>34</v>
      </c>
    </row>
    <row r="26" spans="3:3" ht="15.75" customHeight="1">
      <c r="C26" s="9"/>
    </row>
    <row r="27" spans="3:3" ht="15.75" customHeight="1">
      <c r="C27" s="11" t="s">
        <v>37</v>
      </c>
    </row>
    <row r="28" spans="3:3" ht="15.75" customHeight="1"/>
    <row r="29" spans="3:3" ht="15.75" customHeight="1"/>
    <row r="30" spans="3:3" ht="15.75" customHeight="1"/>
    <row r="31" spans="3:3" ht="15.75" customHeight="1">
      <c r="C31" s="10" t="s">
        <v>38</v>
      </c>
    </row>
    <row r="32" spans="3:3" ht="15.75" customHeight="1"/>
    <row r="33" spans="3:4" ht="15.75" customHeight="1">
      <c r="C33" s="1" t="s">
        <v>39</v>
      </c>
    </row>
    <row r="34" spans="3:4" ht="15.75" customHeight="1">
      <c r="C34" s="9"/>
    </row>
    <row r="35" spans="3:4" ht="15.75" customHeight="1">
      <c r="C35" s="11" t="s">
        <v>40</v>
      </c>
    </row>
    <row r="36" spans="3:4" ht="15.75" customHeight="1">
      <c r="C36" s="9"/>
    </row>
    <row r="37" spans="3:4" ht="15.75" customHeight="1">
      <c r="C37" s="11" t="s">
        <v>41</v>
      </c>
    </row>
    <row r="38" spans="3:4" ht="15.75" customHeight="1">
      <c r="C38" s="9"/>
    </row>
    <row r="39" spans="3:4" ht="15.75" customHeight="1">
      <c r="C39" s="11" t="s">
        <v>42</v>
      </c>
    </row>
    <row r="40" spans="3:4" ht="15.75" customHeight="1"/>
    <row r="41" spans="3:4" ht="15.75" customHeight="1"/>
    <row r="42" spans="3:4" ht="15.75" customHeight="1"/>
    <row r="43" spans="3:4" ht="15.75" customHeight="1"/>
    <row r="44" spans="3:4" ht="15.75" customHeight="1">
      <c r="C44" s="6" t="s">
        <v>43</v>
      </c>
    </row>
    <row r="45" spans="3:4" ht="15.75" customHeight="1"/>
    <row r="46" spans="3:4" ht="15.75" customHeight="1">
      <c r="C46" s="13" t="s">
        <v>44</v>
      </c>
      <c r="D46" s="13" t="s">
        <v>45</v>
      </c>
    </row>
    <row r="47" spans="3:4" ht="15.75" customHeight="1">
      <c r="C47" s="14" t="s">
        <v>46</v>
      </c>
      <c r="D47" s="14">
        <v>45</v>
      </c>
    </row>
    <row r="48" spans="3:4" ht="15.75" customHeight="1">
      <c r="C48" s="14" t="s">
        <v>47</v>
      </c>
      <c r="D48" s="14">
        <v>50</v>
      </c>
    </row>
    <row r="49" spans="3:4" ht="15.75" customHeight="1">
      <c r="C49" s="14" t="s">
        <v>48</v>
      </c>
      <c r="D49" s="14">
        <v>55</v>
      </c>
    </row>
    <row r="50" spans="3:4" ht="15.75" customHeight="1">
      <c r="C50" s="14" t="s">
        <v>49</v>
      </c>
      <c r="D50" s="14">
        <v>60</v>
      </c>
    </row>
    <row r="51" spans="3:4" ht="15.75" customHeight="1">
      <c r="C51" s="14" t="s">
        <v>50</v>
      </c>
      <c r="D51" s="14">
        <v>65</v>
      </c>
    </row>
    <row r="52" spans="3:4" ht="15.75" customHeight="1">
      <c r="C52" s="14" t="s">
        <v>51</v>
      </c>
      <c r="D52" s="14">
        <v>70</v>
      </c>
    </row>
    <row r="53" spans="3:4" ht="15.75" customHeight="1">
      <c r="C53" s="14" t="s">
        <v>52</v>
      </c>
      <c r="D53" s="14">
        <v>75</v>
      </c>
    </row>
    <row r="54" spans="3:4" ht="15.75" customHeight="1">
      <c r="C54" s="14" t="s">
        <v>53</v>
      </c>
      <c r="D54" s="14">
        <v>80</v>
      </c>
    </row>
    <row r="55" spans="3:4" ht="15.75" customHeight="1">
      <c r="C55" s="14" t="s">
        <v>54</v>
      </c>
      <c r="D55" s="14">
        <v>85</v>
      </c>
    </row>
    <row r="56" spans="3:4" ht="15.75" customHeight="1">
      <c r="C56" s="14" t="s">
        <v>55</v>
      </c>
      <c r="D56" s="14">
        <v>90</v>
      </c>
    </row>
    <row r="57" spans="3:4" ht="15.75" customHeight="1"/>
    <row r="58" spans="3:4" ht="15.75" customHeight="1"/>
    <row r="59" spans="3:4" ht="15.75" customHeight="1">
      <c r="C59" s="6" t="s">
        <v>57</v>
      </c>
    </row>
    <row r="60" spans="3:4" ht="15.75" customHeight="1">
      <c r="C60" s="9"/>
    </row>
    <row r="61" spans="3:4" ht="15.75" customHeight="1">
      <c r="C61" s="11" t="s">
        <v>58</v>
      </c>
    </row>
    <row r="62" spans="3:4" ht="15.75" customHeight="1">
      <c r="C62" s="9"/>
    </row>
    <row r="63" spans="3:4" ht="15.75" customHeight="1">
      <c r="C63" s="11" t="s">
        <v>59</v>
      </c>
    </row>
    <row r="64" spans="3:4" ht="15.75" customHeight="1">
      <c r="C64" s="9"/>
    </row>
    <row r="65" spans="3:3" ht="15.75" customHeight="1">
      <c r="C65" s="11" t="s">
        <v>60</v>
      </c>
    </row>
    <row r="66" spans="3:3" ht="15.75" customHeight="1">
      <c r="C66" s="9"/>
    </row>
    <row r="67" spans="3:3" ht="15.75" customHeight="1">
      <c r="C67" s="11" t="s">
        <v>61</v>
      </c>
    </row>
    <row r="68" spans="3:3" ht="15.75" customHeight="1"/>
    <row r="69" spans="3:3" ht="15.75" customHeight="1"/>
    <row r="70" spans="3:3" ht="15.75" customHeight="1"/>
    <row r="71" spans="3:3" ht="15.75" customHeight="1">
      <c r="C71" s="6" t="s">
        <v>63</v>
      </c>
    </row>
    <row r="72" spans="3:3" ht="15.75" customHeight="1">
      <c r="C72" s="9"/>
    </row>
    <row r="73" spans="3:3" ht="15.75" customHeight="1">
      <c r="C73" s="9" t="s">
        <v>65</v>
      </c>
    </row>
    <row r="74" spans="3:3" ht="15.75" customHeight="1">
      <c r="C74" s="9"/>
    </row>
    <row r="75" spans="3:3" ht="15.75" customHeight="1">
      <c r="C75" s="9" t="s">
        <v>68</v>
      </c>
    </row>
    <row r="76" spans="3:3" ht="15.75" customHeight="1">
      <c r="C76" s="9"/>
    </row>
    <row r="77" spans="3:3" ht="15.75" customHeight="1">
      <c r="C77" s="9" t="s">
        <v>69</v>
      </c>
    </row>
    <row r="78" spans="3:3" ht="15.75" customHeight="1">
      <c r="C78" s="9"/>
    </row>
    <row r="79" spans="3:3" ht="15.75" customHeight="1">
      <c r="C79" s="9" t="s">
        <v>70</v>
      </c>
    </row>
    <row r="80" spans="3:3" ht="15.75" customHeight="1"/>
    <row r="81" spans="3:3" ht="15.75" customHeight="1"/>
    <row r="82" spans="3:3" ht="15.75" customHeight="1"/>
    <row r="83" spans="3:3" ht="15.75" customHeight="1">
      <c r="C83" s="6"/>
    </row>
    <row r="84" spans="3:3" ht="15.75" customHeight="1"/>
    <row r="85" spans="3:3" ht="15.75" customHeight="1"/>
    <row r="86" spans="3:3" ht="15.75" customHeight="1"/>
    <row r="87" spans="3:3" ht="15.75" customHeight="1"/>
    <row r="88" spans="3:3" ht="15.75" customHeight="1"/>
    <row r="89" spans="3:3" ht="15.75" customHeight="1"/>
    <row r="90" spans="3:3" ht="15.75" customHeight="1"/>
    <row r="91" spans="3:3" ht="15.75" customHeight="1"/>
    <row r="92" spans="3:3" ht="15.75" customHeight="1"/>
    <row r="93" spans="3:3" ht="15.75" customHeight="1"/>
    <row r="94" spans="3:3" ht="15.75" customHeight="1"/>
    <row r="95" spans="3:3" ht="15.75" customHeight="1"/>
    <row r="96" spans="3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1839-3695-423C-8820-AA4C821BB08C}">
  <dimension ref="A1:L15"/>
  <sheetViews>
    <sheetView workbookViewId="0">
      <selection activeCell="C23" sqref="C23"/>
    </sheetView>
  </sheetViews>
  <sheetFormatPr defaultRowHeight="14.4"/>
  <cols>
    <col min="1" max="1" width="16.109375" customWidth="1"/>
    <col min="2" max="2" width="14.33203125" customWidth="1"/>
    <col min="3" max="3" width="15.5546875" customWidth="1"/>
    <col min="4" max="4" width="17" customWidth="1"/>
    <col min="5" max="5" width="16.33203125" customWidth="1"/>
    <col min="6" max="6" width="16.88671875" customWidth="1"/>
    <col min="7" max="7" width="20.77734375" customWidth="1"/>
    <col min="9" max="9" width="18.21875" customWidth="1"/>
    <col min="10" max="10" width="12.21875" customWidth="1"/>
    <col min="11" max="11" width="18.5546875" customWidth="1"/>
    <col min="12" max="12" width="14.21875" customWidth="1"/>
  </cols>
  <sheetData>
    <row r="1" spans="1:12">
      <c r="A1" s="23" t="s">
        <v>84</v>
      </c>
      <c r="B1" s="23"/>
      <c r="C1" s="23" t="s">
        <v>85</v>
      </c>
      <c r="D1" s="23"/>
      <c r="E1" s="23" t="s">
        <v>86</v>
      </c>
      <c r="F1" s="23"/>
      <c r="G1" s="23" t="s">
        <v>87</v>
      </c>
      <c r="H1" s="23"/>
      <c r="I1" s="23" t="s">
        <v>88</v>
      </c>
      <c r="J1" s="23"/>
      <c r="K1" s="23" t="s">
        <v>89</v>
      </c>
      <c r="L1" s="23"/>
    </row>
    <row r="2" spans="1:1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>
      <c r="A3" s="21" t="s">
        <v>36</v>
      </c>
      <c r="B3" s="21">
        <v>8.5</v>
      </c>
      <c r="C3" s="21" t="s">
        <v>36</v>
      </c>
      <c r="D3" s="21">
        <v>22575</v>
      </c>
      <c r="E3" s="21" t="s">
        <v>36</v>
      </c>
      <c r="F3" s="21">
        <v>3.0625</v>
      </c>
      <c r="G3" s="21" t="s">
        <v>36</v>
      </c>
      <c r="H3" s="21">
        <v>6.3125</v>
      </c>
      <c r="I3" s="21" t="s">
        <v>36</v>
      </c>
      <c r="J3" s="21">
        <v>3318.8125</v>
      </c>
      <c r="K3" s="21" t="s">
        <v>36</v>
      </c>
      <c r="L3" s="21">
        <v>4.666666666666667</v>
      </c>
    </row>
    <row r="4" spans="1:12">
      <c r="A4" s="21" t="s">
        <v>117</v>
      </c>
      <c r="B4" s="21">
        <v>1.1902380714238083</v>
      </c>
      <c r="C4" s="21" t="s">
        <v>117</v>
      </c>
      <c r="D4" s="21">
        <v>4776.4395735736052</v>
      </c>
      <c r="E4" s="21" t="s">
        <v>117</v>
      </c>
      <c r="F4" s="21">
        <v>0.42297310789221576</v>
      </c>
      <c r="G4" s="21" t="s">
        <v>117</v>
      </c>
      <c r="H4" s="21">
        <v>0.9904491826102606</v>
      </c>
      <c r="I4" s="21" t="s">
        <v>117</v>
      </c>
      <c r="J4" s="21">
        <v>737.72662743249055</v>
      </c>
      <c r="K4" s="21" t="s">
        <v>117</v>
      </c>
      <c r="L4" s="21">
        <v>0.48468611999997979</v>
      </c>
    </row>
    <row r="5" spans="1:12">
      <c r="A5" s="21" t="s">
        <v>3</v>
      </c>
      <c r="B5" s="21">
        <v>8.5</v>
      </c>
      <c r="C5" s="21" t="s">
        <v>3</v>
      </c>
      <c r="D5" s="21">
        <v>19000</v>
      </c>
      <c r="E5" s="21" t="s">
        <v>3</v>
      </c>
      <c r="F5" s="21">
        <v>3</v>
      </c>
      <c r="G5" s="21" t="s">
        <v>3</v>
      </c>
      <c r="H5" s="21">
        <v>6</v>
      </c>
      <c r="I5" s="21" t="s">
        <v>3</v>
      </c>
      <c r="J5" s="21">
        <v>2900</v>
      </c>
      <c r="K5" s="21" t="s">
        <v>3</v>
      </c>
      <c r="L5" s="21">
        <v>5</v>
      </c>
    </row>
    <row r="6" spans="1:12">
      <c r="A6" s="21" t="s">
        <v>4</v>
      </c>
      <c r="B6" s="21" t="e">
        <v>#N/A</v>
      </c>
      <c r="C6" s="21" t="s">
        <v>4</v>
      </c>
      <c r="D6" s="21" t="e">
        <v>#N/A</v>
      </c>
      <c r="E6" s="21" t="s">
        <v>4</v>
      </c>
      <c r="F6" s="21">
        <v>2</v>
      </c>
      <c r="G6" s="21" t="s">
        <v>4</v>
      </c>
      <c r="H6" s="21">
        <v>5</v>
      </c>
      <c r="I6" s="21" t="s">
        <v>4</v>
      </c>
      <c r="J6" s="21" t="e">
        <v>#N/A</v>
      </c>
      <c r="K6" s="21" t="s">
        <v>4</v>
      </c>
      <c r="L6" s="21">
        <v>3</v>
      </c>
    </row>
    <row r="7" spans="1:12">
      <c r="A7" s="21" t="s">
        <v>120</v>
      </c>
      <c r="B7" s="21">
        <v>4.7609522856952333</v>
      </c>
      <c r="C7" s="21" t="s">
        <v>120</v>
      </c>
      <c r="D7" s="21">
        <v>19105.758294294421</v>
      </c>
      <c r="E7" s="21" t="s">
        <v>120</v>
      </c>
      <c r="F7" s="21">
        <v>1.691892431568863</v>
      </c>
      <c r="G7" s="21" t="s">
        <v>120</v>
      </c>
      <c r="H7" s="21">
        <v>3.9617967304410424</v>
      </c>
      <c r="I7" s="21" t="s">
        <v>120</v>
      </c>
      <c r="J7" s="21">
        <v>2950.9065097299622</v>
      </c>
      <c r="K7" s="21" t="s">
        <v>120</v>
      </c>
      <c r="L7" s="21">
        <v>1.8771812708978115</v>
      </c>
    </row>
    <row r="8" spans="1:12">
      <c r="A8" s="21" t="s">
        <v>121</v>
      </c>
      <c r="B8" s="21">
        <v>22.666666666666668</v>
      </c>
      <c r="C8" s="21" t="s">
        <v>121</v>
      </c>
      <c r="D8" s="21">
        <v>365030000</v>
      </c>
      <c r="E8" s="21" t="s">
        <v>121</v>
      </c>
      <c r="F8" s="21">
        <v>2.8624999999999998</v>
      </c>
      <c r="G8" s="21" t="s">
        <v>121</v>
      </c>
      <c r="H8" s="21">
        <v>15.695833333333333</v>
      </c>
      <c r="I8" s="21" t="s">
        <v>121</v>
      </c>
      <c r="J8" s="21">
        <v>8707849.229166666</v>
      </c>
      <c r="K8" s="21" t="s">
        <v>121</v>
      </c>
      <c r="L8" s="21">
        <v>3.5238095238095224</v>
      </c>
    </row>
    <row r="9" spans="1:12">
      <c r="A9" s="21" t="s">
        <v>122</v>
      </c>
      <c r="B9" s="21">
        <v>-1.2000000000000002</v>
      </c>
      <c r="C9" s="21" t="s">
        <v>122</v>
      </c>
      <c r="D9" s="21">
        <v>0.10300394373762378</v>
      </c>
      <c r="E9" s="21" t="s">
        <v>122</v>
      </c>
      <c r="F9" s="21">
        <v>-0.8238667379416027</v>
      </c>
      <c r="G9" s="21" t="s">
        <v>122</v>
      </c>
      <c r="H9" s="21">
        <v>-0.70344797839495099</v>
      </c>
      <c r="I9" s="21" t="s">
        <v>122</v>
      </c>
      <c r="J9" s="21">
        <v>-0.26984374294807312</v>
      </c>
      <c r="K9" s="21" t="s">
        <v>122</v>
      </c>
      <c r="L9" s="21">
        <v>-0.99235826262853388</v>
      </c>
    </row>
    <row r="10" spans="1:12">
      <c r="A10" s="21" t="s">
        <v>123</v>
      </c>
      <c r="B10" s="21">
        <v>-6.7670736739057167E-17</v>
      </c>
      <c r="C10" s="21" t="s">
        <v>123</v>
      </c>
      <c r="D10" s="21">
        <v>1.1357075085926824</v>
      </c>
      <c r="E10" s="21" t="s">
        <v>123</v>
      </c>
      <c r="F10" s="21">
        <v>0.54975776651729424</v>
      </c>
      <c r="G10" s="21" t="s">
        <v>123</v>
      </c>
      <c r="H10" s="21">
        <v>-0.29431805065531563</v>
      </c>
      <c r="I10" s="21" t="s">
        <v>123</v>
      </c>
      <c r="J10" s="21">
        <v>0.89496898435879835</v>
      </c>
      <c r="K10" s="21" t="s">
        <v>123</v>
      </c>
      <c r="L10" s="21">
        <v>0.18550837557967709</v>
      </c>
    </row>
    <row r="11" spans="1:12">
      <c r="A11" s="21" t="s">
        <v>124</v>
      </c>
      <c r="B11" s="21">
        <v>15</v>
      </c>
      <c r="C11" s="21" t="s">
        <v>124</v>
      </c>
      <c r="D11" s="21">
        <v>55500</v>
      </c>
      <c r="E11" s="21" t="s">
        <v>124</v>
      </c>
      <c r="F11" s="21">
        <v>5</v>
      </c>
      <c r="G11" s="21" t="s">
        <v>124</v>
      </c>
      <c r="H11" s="21">
        <v>12</v>
      </c>
      <c r="I11" s="21" t="s">
        <v>124</v>
      </c>
      <c r="J11" s="21">
        <v>8999</v>
      </c>
      <c r="K11" s="21" t="s">
        <v>124</v>
      </c>
      <c r="L11" s="21">
        <v>6</v>
      </c>
    </row>
    <row r="12" spans="1:12">
      <c r="A12" s="21" t="s">
        <v>125</v>
      </c>
      <c r="B12" s="21">
        <v>1</v>
      </c>
      <c r="C12" s="21" t="s">
        <v>125</v>
      </c>
      <c r="D12" s="21">
        <v>4500</v>
      </c>
      <c r="E12" s="21" t="s">
        <v>125</v>
      </c>
      <c r="F12" s="21">
        <v>1</v>
      </c>
      <c r="G12" s="21" t="s">
        <v>125</v>
      </c>
      <c r="H12" s="21">
        <v>0</v>
      </c>
      <c r="I12" s="21" t="s">
        <v>125</v>
      </c>
      <c r="J12" s="21">
        <v>1</v>
      </c>
      <c r="K12" s="21" t="s">
        <v>125</v>
      </c>
      <c r="L12" s="21">
        <v>2</v>
      </c>
    </row>
    <row r="13" spans="1:12">
      <c r="A13" s="21" t="s">
        <v>73</v>
      </c>
      <c r="B13" s="21">
        <v>16</v>
      </c>
      <c r="C13" s="21" t="s">
        <v>73</v>
      </c>
      <c r="D13" s="21">
        <v>60000</v>
      </c>
      <c r="E13" s="21" t="s">
        <v>73</v>
      </c>
      <c r="F13" s="21">
        <v>6</v>
      </c>
      <c r="G13" s="21" t="s">
        <v>73</v>
      </c>
      <c r="H13" s="21">
        <v>12</v>
      </c>
      <c r="I13" s="21" t="s">
        <v>73</v>
      </c>
      <c r="J13" s="21">
        <v>9000</v>
      </c>
      <c r="K13" s="21" t="s">
        <v>73</v>
      </c>
      <c r="L13" s="21">
        <v>8</v>
      </c>
    </row>
    <row r="14" spans="1:12">
      <c r="A14" s="21" t="s">
        <v>126</v>
      </c>
      <c r="B14" s="21">
        <v>136</v>
      </c>
      <c r="C14" s="21" t="s">
        <v>126</v>
      </c>
      <c r="D14" s="21">
        <v>361200</v>
      </c>
      <c r="E14" s="21" t="s">
        <v>126</v>
      </c>
      <c r="F14" s="21">
        <v>49</v>
      </c>
      <c r="G14" s="21" t="s">
        <v>126</v>
      </c>
      <c r="H14" s="21">
        <v>101</v>
      </c>
      <c r="I14" s="21" t="s">
        <v>126</v>
      </c>
      <c r="J14" s="21">
        <v>53101</v>
      </c>
      <c r="K14" s="21" t="s">
        <v>126</v>
      </c>
      <c r="L14" s="21">
        <v>70</v>
      </c>
    </row>
    <row r="15" spans="1:12" ht="15" thickBot="1">
      <c r="A15" s="22" t="s">
        <v>75</v>
      </c>
      <c r="B15" s="22">
        <v>16</v>
      </c>
      <c r="C15" s="22" t="s">
        <v>75</v>
      </c>
      <c r="D15" s="22">
        <v>16</v>
      </c>
      <c r="E15" s="22" t="s">
        <v>75</v>
      </c>
      <c r="F15" s="22">
        <v>16</v>
      </c>
      <c r="G15" s="22" t="s">
        <v>75</v>
      </c>
      <c r="H15" s="22">
        <v>16</v>
      </c>
      <c r="I15" s="22" t="s">
        <v>75</v>
      </c>
      <c r="J15" s="22">
        <v>16</v>
      </c>
      <c r="K15" s="22" t="s">
        <v>75</v>
      </c>
      <c r="L15" s="2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V1000"/>
  <sheetViews>
    <sheetView workbookViewId="0">
      <selection activeCell="B3" sqref="B3:G19"/>
    </sheetView>
  </sheetViews>
  <sheetFormatPr defaultColWidth="12.6640625" defaultRowHeight="15" customHeight="1"/>
  <cols>
    <col min="1" max="10" width="8.6640625" customWidth="1"/>
    <col min="11" max="11" width="18" customWidth="1"/>
    <col min="12" max="12" width="12.77734375" customWidth="1"/>
    <col min="13" max="13" width="18" customWidth="1"/>
    <col min="14" max="14" width="12" customWidth="1"/>
    <col min="15" max="15" width="18" customWidth="1"/>
    <col min="16" max="16" width="12.77734375" customWidth="1"/>
    <col min="17" max="17" width="18" customWidth="1"/>
    <col min="18" max="18" width="12.77734375" customWidth="1"/>
    <col min="19" max="19" width="18" customWidth="1"/>
    <col min="20" max="20" width="12.77734375" customWidth="1"/>
    <col min="21" max="21" width="18" customWidth="1"/>
    <col min="22" max="26" width="8.6640625" customWidth="1"/>
  </cols>
  <sheetData>
    <row r="3" spans="2:22" ht="28.8"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</row>
    <row r="4" spans="2:22" ht="14.4">
      <c r="B4" s="8">
        <v>1</v>
      </c>
      <c r="C4" s="8">
        <v>55000</v>
      </c>
      <c r="D4" s="8">
        <v>5</v>
      </c>
      <c r="E4" s="8">
        <v>10</v>
      </c>
      <c r="F4" s="8">
        <v>8000</v>
      </c>
      <c r="G4" s="8">
        <v>3</v>
      </c>
    </row>
    <row r="5" spans="2:22" ht="14.4">
      <c r="B5" s="8">
        <v>2</v>
      </c>
      <c r="C5" s="8">
        <v>20000</v>
      </c>
      <c r="D5" s="8">
        <v>2</v>
      </c>
      <c r="E5" s="8">
        <v>5</v>
      </c>
      <c r="F5" s="8">
        <v>3000</v>
      </c>
      <c r="G5" s="8">
        <v>5</v>
      </c>
      <c r="K5" s="16" t="s">
        <v>96</v>
      </c>
      <c r="L5" s="16"/>
      <c r="M5" s="16" t="s">
        <v>98</v>
      </c>
      <c r="N5" s="16"/>
      <c r="O5" s="16" t="s">
        <v>99</v>
      </c>
      <c r="P5" s="16"/>
      <c r="Q5" s="16" t="s">
        <v>100</v>
      </c>
      <c r="R5" s="16"/>
      <c r="S5" s="16" t="s">
        <v>101</v>
      </c>
      <c r="T5" s="16"/>
      <c r="U5" s="16" t="s">
        <v>104</v>
      </c>
      <c r="V5" s="16"/>
    </row>
    <row r="6" spans="2:22" ht="14.4">
      <c r="B6" s="8">
        <v>3</v>
      </c>
      <c r="C6" s="8">
        <v>5000</v>
      </c>
      <c r="D6" s="8">
        <v>1</v>
      </c>
      <c r="E6" s="8">
        <v>0</v>
      </c>
      <c r="F6" s="8">
        <v>500</v>
      </c>
      <c r="G6" s="8">
        <v>7</v>
      </c>
    </row>
    <row r="7" spans="2:22" ht="14.4">
      <c r="B7" s="8">
        <v>4</v>
      </c>
      <c r="C7" s="8">
        <v>7000</v>
      </c>
      <c r="D7" s="8">
        <v>2</v>
      </c>
      <c r="E7" s="8">
        <v>5</v>
      </c>
      <c r="F7" s="8">
        <v>900</v>
      </c>
      <c r="G7" s="8">
        <v>6</v>
      </c>
      <c r="K7" s="1" t="s">
        <v>36</v>
      </c>
      <c r="L7" s="1">
        <v>8.5</v>
      </c>
      <c r="M7" s="1" t="s">
        <v>36</v>
      </c>
      <c r="N7" s="1">
        <v>22575</v>
      </c>
      <c r="O7" s="1" t="s">
        <v>36</v>
      </c>
      <c r="P7" s="1">
        <v>3.0625</v>
      </c>
      <c r="Q7" s="1" t="s">
        <v>36</v>
      </c>
      <c r="R7" s="1">
        <v>6.3125</v>
      </c>
      <c r="S7" s="1" t="s">
        <v>36</v>
      </c>
      <c r="T7" s="1">
        <v>3318.8125</v>
      </c>
      <c r="U7" s="1" t="s">
        <v>36</v>
      </c>
      <c r="V7" s="1">
        <v>4.666666666666667</v>
      </c>
    </row>
    <row r="8" spans="2:22" ht="14.4">
      <c r="B8" s="8">
        <v>5</v>
      </c>
      <c r="C8" s="8">
        <v>15000</v>
      </c>
      <c r="D8" s="8">
        <v>3</v>
      </c>
      <c r="E8" s="8">
        <v>8</v>
      </c>
      <c r="F8" s="8">
        <v>2500</v>
      </c>
      <c r="G8" s="8">
        <v>4</v>
      </c>
      <c r="K8" s="1" t="s">
        <v>117</v>
      </c>
      <c r="L8" s="1">
        <v>1.1902380714238083</v>
      </c>
      <c r="M8" s="1" t="s">
        <v>117</v>
      </c>
      <c r="N8" s="1">
        <v>4776.4395735736052</v>
      </c>
      <c r="O8" s="1" t="s">
        <v>117</v>
      </c>
      <c r="P8" s="1">
        <v>0.42297310789221576</v>
      </c>
      <c r="Q8" s="1" t="s">
        <v>117</v>
      </c>
      <c r="R8" s="1">
        <v>0.9904491826102606</v>
      </c>
      <c r="S8" s="1" t="s">
        <v>117</v>
      </c>
      <c r="T8" s="1">
        <v>737.72662743249055</v>
      </c>
      <c r="U8" s="1" t="s">
        <v>117</v>
      </c>
      <c r="V8" s="1">
        <v>0.48468611999997979</v>
      </c>
    </row>
    <row r="9" spans="2:22" ht="14.4">
      <c r="B9" s="8">
        <v>6</v>
      </c>
      <c r="C9" s="8">
        <v>25000</v>
      </c>
      <c r="D9" s="8">
        <v>4</v>
      </c>
      <c r="E9" s="8">
        <v>10</v>
      </c>
      <c r="F9" s="8">
        <v>4000</v>
      </c>
      <c r="G9" s="8">
        <v>3</v>
      </c>
      <c r="K9" s="1" t="s">
        <v>3</v>
      </c>
      <c r="L9" s="1">
        <v>8.5</v>
      </c>
      <c r="M9" s="1" t="s">
        <v>3</v>
      </c>
      <c r="N9" s="1">
        <v>19000</v>
      </c>
      <c r="O9" s="1" t="s">
        <v>3</v>
      </c>
      <c r="P9" s="1">
        <v>3</v>
      </c>
      <c r="Q9" s="1" t="s">
        <v>3</v>
      </c>
      <c r="R9" s="1">
        <v>6</v>
      </c>
      <c r="S9" s="1" t="s">
        <v>3</v>
      </c>
      <c r="T9" s="1">
        <v>2900</v>
      </c>
      <c r="U9" s="1" t="s">
        <v>3</v>
      </c>
      <c r="V9" s="1">
        <v>5</v>
      </c>
    </row>
    <row r="10" spans="2:22" ht="14.4">
      <c r="B10" s="8">
        <v>7</v>
      </c>
      <c r="C10" s="8">
        <v>60000</v>
      </c>
      <c r="D10" s="8">
        <v>6</v>
      </c>
      <c r="E10" s="8">
        <v>12</v>
      </c>
      <c r="F10" s="8">
        <v>9000</v>
      </c>
      <c r="G10" s="8">
        <v>2</v>
      </c>
      <c r="K10" s="1" t="s">
        <v>4</v>
      </c>
      <c r="L10" s="1" t="e">
        <v>#N/A</v>
      </c>
      <c r="M10" s="1" t="s">
        <v>4</v>
      </c>
      <c r="N10" s="1" t="e">
        <v>#N/A</v>
      </c>
      <c r="O10" s="1" t="s">
        <v>4</v>
      </c>
      <c r="P10" s="1">
        <v>2</v>
      </c>
      <c r="Q10" s="1" t="s">
        <v>4</v>
      </c>
      <c r="R10" s="1">
        <v>5</v>
      </c>
      <c r="S10" s="1" t="s">
        <v>4</v>
      </c>
      <c r="T10" s="1" t="e">
        <v>#N/A</v>
      </c>
      <c r="U10" s="1" t="s">
        <v>4</v>
      </c>
      <c r="V10" s="1">
        <v>3</v>
      </c>
    </row>
    <row r="11" spans="2:22" ht="14.4">
      <c r="B11" s="8">
        <v>8</v>
      </c>
      <c r="C11" s="8">
        <v>22000</v>
      </c>
      <c r="D11" s="8">
        <v>3</v>
      </c>
      <c r="E11" s="8">
        <v>6</v>
      </c>
      <c r="F11" s="8">
        <v>3500</v>
      </c>
      <c r="G11" s="8">
        <v>5</v>
      </c>
      <c r="K11" s="1" t="s">
        <v>120</v>
      </c>
      <c r="L11" s="1">
        <v>4.7609522856952333</v>
      </c>
      <c r="M11" s="1" t="s">
        <v>120</v>
      </c>
      <c r="N11" s="1">
        <v>19105.758294294421</v>
      </c>
      <c r="O11" s="1" t="s">
        <v>120</v>
      </c>
      <c r="P11" s="1">
        <v>1.691892431568863</v>
      </c>
      <c r="Q11" s="1" t="s">
        <v>120</v>
      </c>
      <c r="R11" s="1">
        <v>3.9617967304410424</v>
      </c>
      <c r="S11" s="1" t="s">
        <v>120</v>
      </c>
      <c r="T11" s="1">
        <v>2950.9065097299622</v>
      </c>
      <c r="U11" s="1" t="s">
        <v>120</v>
      </c>
      <c r="V11" s="1">
        <v>1.8771812708978115</v>
      </c>
    </row>
    <row r="12" spans="2:22" ht="14.4">
      <c r="B12" s="8">
        <v>9</v>
      </c>
      <c r="C12" s="8">
        <v>4500</v>
      </c>
      <c r="D12" s="8">
        <v>1</v>
      </c>
      <c r="E12" s="8">
        <v>0</v>
      </c>
      <c r="F12" s="8">
        <v>400</v>
      </c>
      <c r="G12" s="8">
        <v>8</v>
      </c>
      <c r="K12" s="1" t="s">
        <v>121</v>
      </c>
      <c r="L12" s="1">
        <v>22.666666666666668</v>
      </c>
      <c r="M12" s="1" t="s">
        <v>121</v>
      </c>
      <c r="N12" s="1">
        <v>365030000</v>
      </c>
      <c r="O12" s="1" t="s">
        <v>121</v>
      </c>
      <c r="P12" s="1">
        <v>2.8624999999999998</v>
      </c>
      <c r="Q12" s="1" t="s">
        <v>121</v>
      </c>
      <c r="R12" s="1">
        <v>15.695833333333333</v>
      </c>
      <c r="S12" s="1" t="s">
        <v>121</v>
      </c>
      <c r="T12" s="1">
        <v>8707849.229166666</v>
      </c>
      <c r="U12" s="1" t="s">
        <v>121</v>
      </c>
      <c r="V12" s="1">
        <v>3.5238095238095224</v>
      </c>
    </row>
    <row r="13" spans="2:22" ht="14.4">
      <c r="B13" s="8">
        <v>10</v>
      </c>
      <c r="C13" s="8">
        <v>8000</v>
      </c>
      <c r="D13" s="8">
        <v>2</v>
      </c>
      <c r="E13" s="8">
        <v>5</v>
      </c>
      <c r="F13" s="8">
        <v>1200</v>
      </c>
      <c r="G13" s="8">
        <v>6</v>
      </c>
      <c r="K13" s="1" t="s">
        <v>122</v>
      </c>
      <c r="L13" s="1">
        <v>-1.2000000000000002</v>
      </c>
      <c r="M13" s="1" t="s">
        <v>122</v>
      </c>
      <c r="N13" s="1">
        <v>0.10300394373762378</v>
      </c>
      <c r="O13" s="1" t="s">
        <v>122</v>
      </c>
      <c r="P13" s="1">
        <v>-0.8238667379416027</v>
      </c>
      <c r="Q13" s="1" t="s">
        <v>122</v>
      </c>
      <c r="R13" s="1">
        <v>-0.70344797839495099</v>
      </c>
      <c r="S13" s="1" t="s">
        <v>122</v>
      </c>
      <c r="T13" s="1">
        <v>-0.26984374294807312</v>
      </c>
      <c r="U13" s="1" t="s">
        <v>122</v>
      </c>
      <c r="V13" s="1">
        <v>-0.99235826262853388</v>
      </c>
    </row>
    <row r="14" spans="2:22" ht="14.4">
      <c r="B14" s="8">
        <v>11</v>
      </c>
      <c r="C14" s="8">
        <v>18000</v>
      </c>
      <c r="D14" s="8">
        <v>3</v>
      </c>
      <c r="E14" s="8">
        <v>7</v>
      </c>
      <c r="F14" s="8">
        <v>2800</v>
      </c>
      <c r="G14" s="8">
        <v>4</v>
      </c>
      <c r="K14" s="1" t="s">
        <v>123</v>
      </c>
      <c r="L14" s="1">
        <v>-6.7670736739057167E-17</v>
      </c>
      <c r="M14" s="1" t="s">
        <v>123</v>
      </c>
      <c r="N14" s="1">
        <v>1.1357075085926824</v>
      </c>
      <c r="O14" s="1" t="s">
        <v>123</v>
      </c>
      <c r="P14" s="1">
        <v>0.54975776651729424</v>
      </c>
      <c r="Q14" s="1" t="s">
        <v>123</v>
      </c>
      <c r="R14" s="1">
        <v>-0.29431805065531563</v>
      </c>
      <c r="S14" s="1" t="s">
        <v>123</v>
      </c>
      <c r="T14" s="1">
        <v>0.89496898435879835</v>
      </c>
      <c r="U14" s="1" t="s">
        <v>123</v>
      </c>
      <c r="V14" s="1">
        <v>0.18550837557967709</v>
      </c>
    </row>
    <row r="15" spans="2:22" ht="14.4">
      <c r="B15" s="8">
        <v>12</v>
      </c>
      <c r="C15" s="8">
        <v>30000</v>
      </c>
      <c r="D15" s="8">
        <v>5</v>
      </c>
      <c r="E15" s="8">
        <v>10</v>
      </c>
      <c r="F15" s="8">
        <v>5000</v>
      </c>
      <c r="G15" s="8">
        <v>3</v>
      </c>
      <c r="K15" s="1" t="s">
        <v>124</v>
      </c>
      <c r="L15" s="1">
        <v>15</v>
      </c>
      <c r="M15" s="1" t="s">
        <v>124</v>
      </c>
      <c r="N15" s="1">
        <v>55500</v>
      </c>
      <c r="O15" s="1" t="s">
        <v>124</v>
      </c>
      <c r="P15" s="1">
        <v>5</v>
      </c>
      <c r="Q15" s="1" t="s">
        <v>124</v>
      </c>
      <c r="R15" s="1">
        <v>12</v>
      </c>
      <c r="S15" s="1" t="s">
        <v>124</v>
      </c>
      <c r="T15" s="1">
        <v>8999</v>
      </c>
      <c r="U15" s="1" t="s">
        <v>124</v>
      </c>
      <c r="V15" s="1">
        <v>6</v>
      </c>
    </row>
    <row r="16" spans="2:22" ht="14.4">
      <c r="B16" s="8">
        <v>13</v>
      </c>
      <c r="C16" s="8">
        <v>58000</v>
      </c>
      <c r="D16" s="8">
        <v>6</v>
      </c>
      <c r="E16" s="8">
        <v>12</v>
      </c>
      <c r="F16" s="8">
        <v>8500</v>
      </c>
      <c r="G16" s="8">
        <v>2</v>
      </c>
      <c r="K16" s="1" t="s">
        <v>125</v>
      </c>
      <c r="L16" s="1">
        <v>1</v>
      </c>
      <c r="M16" s="1" t="s">
        <v>125</v>
      </c>
      <c r="N16" s="1">
        <v>4500</v>
      </c>
      <c r="O16" s="1" t="s">
        <v>125</v>
      </c>
      <c r="P16" s="1">
        <v>1</v>
      </c>
      <c r="Q16" s="1" t="s">
        <v>125</v>
      </c>
      <c r="R16" s="1">
        <v>0</v>
      </c>
      <c r="S16" s="1" t="s">
        <v>125</v>
      </c>
      <c r="T16" s="1">
        <v>1</v>
      </c>
      <c r="U16" s="1" t="s">
        <v>125</v>
      </c>
      <c r="V16" s="1">
        <v>2</v>
      </c>
    </row>
    <row r="17" spans="2:22" ht="14.4">
      <c r="B17" s="8">
        <v>14</v>
      </c>
      <c r="C17" s="8">
        <v>21000</v>
      </c>
      <c r="D17" s="8">
        <v>3</v>
      </c>
      <c r="E17" s="8">
        <v>6</v>
      </c>
      <c r="F17" s="8">
        <v>3200</v>
      </c>
      <c r="G17" s="8">
        <v>5</v>
      </c>
      <c r="K17" s="1" t="s">
        <v>73</v>
      </c>
      <c r="L17" s="1">
        <v>16</v>
      </c>
      <c r="M17" s="1" t="s">
        <v>73</v>
      </c>
      <c r="N17" s="1">
        <v>60000</v>
      </c>
      <c r="O17" s="1" t="s">
        <v>73</v>
      </c>
      <c r="P17" s="1">
        <v>6</v>
      </c>
      <c r="Q17" s="1" t="s">
        <v>73</v>
      </c>
      <c r="R17" s="1">
        <v>12</v>
      </c>
      <c r="S17" s="1" t="s">
        <v>73</v>
      </c>
      <c r="T17" s="1">
        <v>9000</v>
      </c>
      <c r="U17" s="1" t="s">
        <v>73</v>
      </c>
      <c r="V17" s="1">
        <v>8</v>
      </c>
    </row>
    <row r="18" spans="2:22" ht="14.4">
      <c r="B18" s="8">
        <v>15</v>
      </c>
      <c r="C18" s="8">
        <v>5200</v>
      </c>
      <c r="D18" s="8">
        <v>1</v>
      </c>
      <c r="E18" s="8">
        <v>0</v>
      </c>
      <c r="F18" s="8">
        <v>600</v>
      </c>
      <c r="G18" s="8">
        <v>7</v>
      </c>
      <c r="K18" s="1" t="s">
        <v>126</v>
      </c>
      <c r="L18" s="1">
        <v>136</v>
      </c>
      <c r="M18" s="1" t="s">
        <v>126</v>
      </c>
      <c r="N18" s="1">
        <v>361200</v>
      </c>
      <c r="O18" s="1" t="s">
        <v>126</v>
      </c>
      <c r="P18" s="1">
        <v>49</v>
      </c>
      <c r="Q18" s="1" t="s">
        <v>126</v>
      </c>
      <c r="R18" s="1">
        <v>101</v>
      </c>
      <c r="S18" s="1" t="s">
        <v>126</v>
      </c>
      <c r="T18" s="1">
        <v>53101</v>
      </c>
      <c r="U18" s="1" t="s">
        <v>126</v>
      </c>
      <c r="V18" s="1">
        <v>70</v>
      </c>
    </row>
    <row r="19" spans="2:22" ht="14.4">
      <c r="B19" s="8">
        <v>16</v>
      </c>
      <c r="C19" s="8">
        <v>7500</v>
      </c>
      <c r="D19" s="8">
        <v>2</v>
      </c>
      <c r="E19" s="8">
        <v>5</v>
      </c>
      <c r="F19" s="8">
        <v>1</v>
      </c>
      <c r="G19" s="8"/>
      <c r="K19" s="18" t="s">
        <v>75</v>
      </c>
      <c r="L19" s="18">
        <v>16</v>
      </c>
      <c r="M19" s="18" t="s">
        <v>75</v>
      </c>
      <c r="N19" s="18">
        <v>16</v>
      </c>
      <c r="O19" s="18" t="s">
        <v>75</v>
      </c>
      <c r="P19" s="18">
        <v>16</v>
      </c>
      <c r="Q19" s="18" t="s">
        <v>75</v>
      </c>
      <c r="R19" s="18">
        <v>16</v>
      </c>
      <c r="S19" s="18" t="s">
        <v>75</v>
      </c>
      <c r="T19" s="18">
        <v>16</v>
      </c>
      <c r="U19" s="18" t="s">
        <v>75</v>
      </c>
      <c r="V19" s="18">
        <v>15</v>
      </c>
    </row>
    <row r="20" spans="2:22" ht="14.4">
      <c r="B20" s="14"/>
      <c r="C20" s="14"/>
    </row>
    <row r="21" spans="2:22" ht="15.75" customHeight="1">
      <c r="B21" s="14"/>
      <c r="C21" s="14"/>
    </row>
    <row r="22" spans="2:22" ht="15.75" customHeight="1">
      <c r="B22" s="14"/>
      <c r="C22" s="14"/>
    </row>
    <row r="23" spans="2:22" ht="15.75" customHeight="1">
      <c r="B23" s="14"/>
      <c r="C23" s="14"/>
    </row>
    <row r="24" spans="2:22" ht="15.75" customHeight="1"/>
    <row r="25" spans="2:22" ht="15.75" customHeight="1"/>
    <row r="26" spans="2:22" ht="15.75" customHeight="1"/>
    <row r="27" spans="2:22" ht="15.75" customHeight="1"/>
    <row r="28" spans="2:22" ht="15.75" customHeight="1"/>
    <row r="29" spans="2:22" ht="15.75" customHeight="1"/>
    <row r="30" spans="2:22" ht="15.75" customHeight="1"/>
    <row r="31" spans="2:22" ht="15.75" customHeight="1"/>
    <row r="32" spans="2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1000"/>
  <sheetViews>
    <sheetView tabSelected="1" workbookViewId="0">
      <selection activeCell="C3" sqref="C3:J3"/>
    </sheetView>
  </sheetViews>
  <sheetFormatPr defaultColWidth="12.6640625" defaultRowHeight="15" customHeight="1"/>
  <cols>
    <col min="1" max="3" width="8.6640625" customWidth="1"/>
    <col min="4" max="4" width="13.33203125" customWidth="1"/>
    <col min="5" max="9" width="8.6640625" customWidth="1"/>
    <col min="10" max="10" width="9.33203125" customWidth="1"/>
    <col min="11" max="26" width="8.6640625" customWidth="1"/>
  </cols>
  <sheetData>
    <row r="1" spans="3:10" ht="14.4">
      <c r="D1" s="12" t="s">
        <v>90</v>
      </c>
      <c r="E1" s="12"/>
    </row>
    <row r="2" spans="3:10" ht="18" customHeight="1"/>
    <row r="3" spans="3:10" ht="27" customHeight="1">
      <c r="C3" s="15" t="s">
        <v>84</v>
      </c>
      <c r="D3" s="15" t="s">
        <v>91</v>
      </c>
      <c r="E3" s="15" t="s">
        <v>92</v>
      </c>
      <c r="F3" s="15" t="s">
        <v>93</v>
      </c>
      <c r="G3" s="15" t="s">
        <v>94</v>
      </c>
      <c r="H3" s="15" t="s">
        <v>95</v>
      </c>
      <c r="I3" s="15" t="s">
        <v>85</v>
      </c>
      <c r="J3" s="15" t="s">
        <v>97</v>
      </c>
    </row>
    <row r="4" spans="3:10" ht="28.8">
      <c r="C4" s="8">
        <v>1</v>
      </c>
      <c r="D4" s="17">
        <v>45292</v>
      </c>
      <c r="E4" s="8" t="s">
        <v>102</v>
      </c>
      <c r="F4" s="8" t="s">
        <v>18</v>
      </c>
      <c r="G4" s="8" t="s">
        <v>103</v>
      </c>
      <c r="H4" s="8" t="s">
        <v>105</v>
      </c>
      <c r="I4" s="8">
        <v>55000</v>
      </c>
      <c r="J4" s="8" t="s">
        <v>106</v>
      </c>
    </row>
    <row r="5" spans="3:10" ht="31.2" customHeight="1">
      <c r="C5" s="8">
        <v>2</v>
      </c>
      <c r="D5" s="17">
        <v>45293</v>
      </c>
      <c r="E5" s="8" t="s">
        <v>107</v>
      </c>
      <c r="F5" s="8" t="s">
        <v>19</v>
      </c>
      <c r="G5" s="8" t="s">
        <v>108</v>
      </c>
      <c r="H5" s="8" t="s">
        <v>105</v>
      </c>
      <c r="I5" s="8">
        <v>20000</v>
      </c>
      <c r="J5" s="8" t="s">
        <v>109</v>
      </c>
    </row>
    <row r="6" spans="3:10" ht="27" customHeight="1">
      <c r="C6" s="8">
        <v>3</v>
      </c>
      <c r="D6" s="17">
        <v>45294</v>
      </c>
      <c r="E6" s="8" t="s">
        <v>110</v>
      </c>
      <c r="F6" s="8" t="s">
        <v>22</v>
      </c>
      <c r="G6" s="8" t="s">
        <v>111</v>
      </c>
      <c r="H6" s="8" t="s">
        <v>112</v>
      </c>
      <c r="I6" s="8">
        <v>5000</v>
      </c>
      <c r="J6" s="8" t="s">
        <v>106</v>
      </c>
    </row>
    <row r="7" spans="3:10" ht="24" customHeight="1">
      <c r="C7" s="8">
        <v>4</v>
      </c>
      <c r="D7" s="17">
        <v>45295</v>
      </c>
      <c r="E7" s="8" t="s">
        <v>113</v>
      </c>
      <c r="F7" s="8" t="s">
        <v>24</v>
      </c>
      <c r="G7" s="8" t="s">
        <v>114</v>
      </c>
      <c r="H7" s="8" t="s">
        <v>112</v>
      </c>
      <c r="I7" s="8">
        <v>7000</v>
      </c>
      <c r="J7" s="8" t="s">
        <v>115</v>
      </c>
    </row>
    <row r="8" spans="3:10" ht="24.6" customHeight="1">
      <c r="C8" s="8">
        <v>5</v>
      </c>
      <c r="D8" s="17">
        <v>45296</v>
      </c>
      <c r="E8" s="8" t="s">
        <v>102</v>
      </c>
      <c r="F8" s="8" t="s">
        <v>28</v>
      </c>
      <c r="G8" s="8" t="s">
        <v>116</v>
      </c>
      <c r="H8" s="8" t="s">
        <v>105</v>
      </c>
      <c r="I8" s="8">
        <v>15000</v>
      </c>
      <c r="J8" s="8" t="s">
        <v>106</v>
      </c>
    </row>
    <row r="9" spans="3:10" ht="22.2" customHeight="1">
      <c r="C9" s="8">
        <v>6</v>
      </c>
      <c r="D9" s="17">
        <v>45297</v>
      </c>
      <c r="E9" s="8" t="s">
        <v>107</v>
      </c>
      <c r="F9" s="8" t="s">
        <v>35</v>
      </c>
      <c r="G9" s="8" t="s">
        <v>118</v>
      </c>
      <c r="H9" s="8" t="s">
        <v>112</v>
      </c>
      <c r="I9" s="8">
        <v>25000</v>
      </c>
      <c r="J9" s="8" t="s">
        <v>109</v>
      </c>
    </row>
    <row r="10" spans="3:10" ht="28.8">
      <c r="C10" s="8">
        <v>7</v>
      </c>
      <c r="D10" s="17">
        <v>45298</v>
      </c>
      <c r="E10" s="8" t="s">
        <v>110</v>
      </c>
      <c r="F10" s="8" t="s">
        <v>56</v>
      </c>
      <c r="G10" s="8" t="s">
        <v>103</v>
      </c>
      <c r="H10" s="8" t="s">
        <v>105</v>
      </c>
      <c r="I10" s="8">
        <v>60000</v>
      </c>
      <c r="J10" s="8" t="s">
        <v>106</v>
      </c>
    </row>
    <row r="11" spans="3:10" ht="28.8">
      <c r="C11" s="8">
        <v>8</v>
      </c>
      <c r="D11" s="17">
        <v>45299</v>
      </c>
      <c r="E11" s="8" t="s">
        <v>113</v>
      </c>
      <c r="F11" s="8" t="s">
        <v>119</v>
      </c>
      <c r="G11" s="8" t="s">
        <v>108</v>
      </c>
      <c r="H11" s="8" t="s">
        <v>105</v>
      </c>
      <c r="I11" s="8">
        <v>22000</v>
      </c>
      <c r="J11" s="8" t="s">
        <v>106</v>
      </c>
    </row>
    <row r="12" spans="3:10" ht="34.200000000000003" customHeight="1">
      <c r="C12" s="8">
        <v>9</v>
      </c>
      <c r="D12" s="17">
        <v>45300</v>
      </c>
      <c r="E12" s="8" t="s">
        <v>102</v>
      </c>
      <c r="F12" s="8" t="s">
        <v>62</v>
      </c>
      <c r="G12" s="8" t="s">
        <v>111</v>
      </c>
      <c r="H12" s="8" t="s">
        <v>112</v>
      </c>
      <c r="I12" s="8">
        <v>4500</v>
      </c>
      <c r="J12" s="8" t="s">
        <v>109</v>
      </c>
    </row>
    <row r="13" spans="3:10" ht="28.8">
      <c r="C13" s="8">
        <v>10</v>
      </c>
      <c r="D13" s="17">
        <v>45301</v>
      </c>
      <c r="E13" s="8" t="s">
        <v>107</v>
      </c>
      <c r="F13" s="8" t="s">
        <v>66</v>
      </c>
      <c r="G13" s="8" t="s">
        <v>114</v>
      </c>
      <c r="H13" s="8" t="s">
        <v>112</v>
      </c>
      <c r="I13" s="8">
        <v>8000</v>
      </c>
      <c r="J13" s="8" t="s">
        <v>106</v>
      </c>
    </row>
    <row r="14" spans="3:10" ht="28.8">
      <c r="C14" s="8">
        <v>11</v>
      </c>
      <c r="D14" s="17">
        <v>45302</v>
      </c>
      <c r="E14" s="8" t="s">
        <v>110</v>
      </c>
      <c r="F14" s="8" t="s">
        <v>71</v>
      </c>
      <c r="G14" s="8" t="s">
        <v>116</v>
      </c>
      <c r="H14" s="8" t="s">
        <v>105</v>
      </c>
      <c r="I14" s="8">
        <v>18000</v>
      </c>
      <c r="J14" s="8" t="s">
        <v>115</v>
      </c>
    </row>
    <row r="15" spans="3:10" ht="28.8">
      <c r="C15" s="8">
        <v>12</v>
      </c>
      <c r="D15" s="17">
        <v>45303</v>
      </c>
      <c r="E15" s="8" t="s">
        <v>113</v>
      </c>
      <c r="F15" s="8" t="s">
        <v>74</v>
      </c>
      <c r="G15" s="8" t="s">
        <v>118</v>
      </c>
      <c r="H15" s="8" t="s">
        <v>112</v>
      </c>
      <c r="I15" s="8">
        <v>30000</v>
      </c>
      <c r="J15" s="8" t="s">
        <v>106</v>
      </c>
    </row>
    <row r="16" spans="3:10" ht="28.8">
      <c r="C16" s="8">
        <v>13</v>
      </c>
      <c r="D16" s="17">
        <v>45304</v>
      </c>
      <c r="E16" s="8" t="s">
        <v>102</v>
      </c>
      <c r="F16" s="8" t="s">
        <v>76</v>
      </c>
      <c r="G16" s="8" t="s">
        <v>103</v>
      </c>
      <c r="H16" s="8" t="s">
        <v>105</v>
      </c>
      <c r="I16" s="8">
        <v>58000</v>
      </c>
      <c r="J16" s="8" t="s">
        <v>109</v>
      </c>
    </row>
    <row r="17" spans="3:10" ht="28.8">
      <c r="C17" s="8">
        <v>14</v>
      </c>
      <c r="D17" s="17">
        <v>45305</v>
      </c>
      <c r="E17" s="8" t="s">
        <v>107</v>
      </c>
      <c r="F17" s="8" t="s">
        <v>77</v>
      </c>
      <c r="G17" s="8" t="s">
        <v>108</v>
      </c>
      <c r="H17" s="8" t="s">
        <v>105</v>
      </c>
      <c r="I17" s="8">
        <v>21000</v>
      </c>
      <c r="J17" s="8" t="s">
        <v>106</v>
      </c>
    </row>
    <row r="18" spans="3:10" ht="28.8">
      <c r="C18" s="8">
        <v>15</v>
      </c>
      <c r="D18" s="17">
        <v>45306</v>
      </c>
      <c r="E18" s="8" t="s">
        <v>110</v>
      </c>
      <c r="F18" s="8" t="s">
        <v>78</v>
      </c>
      <c r="G18" s="8" t="s">
        <v>111</v>
      </c>
      <c r="H18" s="8" t="s">
        <v>112</v>
      </c>
      <c r="I18" s="8">
        <v>5200</v>
      </c>
      <c r="J18" s="8" t="s">
        <v>106</v>
      </c>
    </row>
    <row r="19" spans="3:10" ht="25.8" customHeight="1">
      <c r="C19" s="8">
        <v>16</v>
      </c>
      <c r="D19" s="17">
        <v>45307</v>
      </c>
      <c r="E19" s="8" t="s">
        <v>113</v>
      </c>
      <c r="F19" s="8" t="s">
        <v>79</v>
      </c>
      <c r="G19" s="8" t="s">
        <v>114</v>
      </c>
      <c r="H19" s="8" t="s">
        <v>112</v>
      </c>
      <c r="I19" s="8">
        <v>7500</v>
      </c>
      <c r="J19" s="8" t="s">
        <v>109</v>
      </c>
    </row>
    <row r="20" spans="3:10" ht="28.8">
      <c r="C20" s="8">
        <v>17</v>
      </c>
      <c r="D20" s="17">
        <v>45308</v>
      </c>
      <c r="E20" s="8" t="s">
        <v>102</v>
      </c>
      <c r="F20" s="8" t="s">
        <v>80</v>
      </c>
      <c r="G20" s="8" t="s">
        <v>116</v>
      </c>
      <c r="H20" s="8" t="s">
        <v>105</v>
      </c>
      <c r="I20" s="8">
        <v>16000</v>
      </c>
      <c r="J20" s="8" t="s">
        <v>106</v>
      </c>
    </row>
    <row r="21" spans="3:10" ht="43.8" customHeight="1">
      <c r="C21" s="8">
        <v>18</v>
      </c>
      <c r="D21" s="17">
        <v>45309</v>
      </c>
      <c r="E21" s="8" t="s">
        <v>107</v>
      </c>
      <c r="F21" s="8" t="s">
        <v>81</v>
      </c>
      <c r="G21" s="8" t="s">
        <v>118</v>
      </c>
      <c r="H21" s="8" t="s">
        <v>112</v>
      </c>
      <c r="I21" s="8">
        <v>27000</v>
      </c>
      <c r="J21" s="8" t="s">
        <v>115</v>
      </c>
    </row>
    <row r="22" spans="3:10" ht="22.8" customHeight="1">
      <c r="C22" s="8">
        <v>19</v>
      </c>
      <c r="D22" s="17">
        <v>45310</v>
      </c>
      <c r="E22" s="8" t="s">
        <v>110</v>
      </c>
      <c r="F22" s="8" t="s">
        <v>82</v>
      </c>
      <c r="G22" s="8" t="s">
        <v>103</v>
      </c>
      <c r="H22" s="8" t="s">
        <v>105</v>
      </c>
      <c r="I22" s="8">
        <v>62000</v>
      </c>
      <c r="J22" s="8" t="s">
        <v>106</v>
      </c>
    </row>
    <row r="23" spans="3:10" ht="28.8" customHeight="1">
      <c r="C23" s="8">
        <v>20</v>
      </c>
      <c r="D23" s="17">
        <v>45311</v>
      </c>
      <c r="E23" s="8" t="s">
        <v>113</v>
      </c>
      <c r="F23" s="8" t="s">
        <v>83</v>
      </c>
      <c r="G23" s="8" t="s">
        <v>108</v>
      </c>
      <c r="H23" s="8" t="s">
        <v>105</v>
      </c>
      <c r="I23" s="8">
        <v>23000</v>
      </c>
      <c r="J23" s="8" t="s">
        <v>106</v>
      </c>
    </row>
    <row r="24" spans="3:10" ht="15.75" customHeight="1"/>
    <row r="25" spans="3:10" ht="15.75" customHeight="1"/>
    <row r="26" spans="3:10" ht="15.75" customHeight="1"/>
    <row r="27" spans="3:10" ht="15.75" customHeight="1"/>
    <row r="28" spans="3:10" ht="15.75" customHeight="1"/>
    <row r="29" spans="3:10" ht="15.75" customHeight="1"/>
    <row r="30" spans="3:10" ht="15.75" customHeight="1"/>
    <row r="31" spans="3:10" ht="15.75" customHeight="1"/>
    <row r="32" spans="3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Today</vt:lpstr>
      <vt:lpstr>Data exploration &amp; Summary</vt:lpstr>
      <vt:lpstr>Summery statistics</vt:lpstr>
      <vt:lpstr>Descriptive stati.</vt:lpstr>
      <vt:lpstr>Sheet1</vt:lpstr>
      <vt:lpstr>Data Analysis Tool Pack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Binjus Jacob</dc:creator>
  <cp:lastModifiedBy>fathima ma</cp:lastModifiedBy>
  <dcterms:created xsi:type="dcterms:W3CDTF">2026-03-23T05:08:43Z</dcterms:created>
  <dcterms:modified xsi:type="dcterms:W3CDTF">2026-10-23T16:10:54Z</dcterms:modified>
</cp:coreProperties>
</file>