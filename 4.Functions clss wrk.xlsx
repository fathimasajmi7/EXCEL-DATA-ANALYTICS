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35243A703C595C4/Documents/"/>
    </mc:Choice>
  </mc:AlternateContent>
  <xr:revisionPtr revIDLastSave="46" documentId="8_{345A124D-277D-4F82-B670-AFBC2BDE9307}" xr6:coauthVersionLast="47" xr6:coauthVersionMax="47" xr10:uidLastSave="{3EDA54EC-4116-40A5-B941-0A5CFBD50BED}"/>
  <bookViews>
    <workbookView xWindow="-108" yWindow="-108" windowWidth="23256" windowHeight="12456" firstSheet="3" activeTab="8" xr2:uid="{00000000-000D-0000-FFFF-FFFF00000000}"/>
  </bookViews>
  <sheets>
    <sheet name="Today" sheetId="1" r:id="rId1"/>
    <sheet name="SUM,AVERAGE,MAX,MIN" sheetId="2" r:id="rId2"/>
    <sheet name="COUNT" sheetId="3" r:id="rId3"/>
    <sheet name="if1" sheetId="4" r:id="rId4"/>
    <sheet name="IF1 (2)" sheetId="5" r:id="rId5"/>
    <sheet name="SUMIF" sheetId="6" r:id="rId6"/>
    <sheet name="COUNTIF" sheetId="7" r:id="rId7"/>
    <sheet name="LEFT,RIGHT,MID,UPPER,PROPER" sheetId="8" r:id="rId8"/>
    <sheet name="LEFT,RIGHT,MID,UPPER,LOWER" sheetId="9" r:id="rId9"/>
  </sheets>
  <definedNames>
    <definedName name="_xlnm._FilterDatabase" localSheetId="1" hidden="1">'SUM,AVERAGE,MAX,MIN'!$B$3:$H$17</definedName>
    <definedName name="_xlnm._FilterDatabase" localSheetId="5" hidden="1">SUMIF!$B$3:$F$12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9jxM2FNmhUR9FgsD13O4VJQcn9U+KcJeRAaeQNOvNHE="/>
    </ext>
  </extLst>
</workbook>
</file>

<file path=xl/calcChain.xml><?xml version="1.0" encoding="utf-8"?>
<calcChain xmlns="http://schemas.openxmlformats.org/spreadsheetml/2006/main">
  <c r="K5" i="9" l="1"/>
  <c r="K6" i="9"/>
  <c r="K7" i="9"/>
  <c r="K8" i="9"/>
  <c r="K9" i="9"/>
  <c r="K4" i="9"/>
  <c r="J5" i="9"/>
  <c r="J6" i="9"/>
  <c r="J7" i="9"/>
  <c r="J8" i="9"/>
  <c r="J9" i="9"/>
  <c r="J4" i="9"/>
  <c r="I5" i="9"/>
  <c r="I6" i="9"/>
  <c r="I7" i="9"/>
  <c r="I8" i="9"/>
  <c r="I9" i="9"/>
  <c r="I4" i="9"/>
  <c r="H5" i="9"/>
  <c r="H6" i="9"/>
  <c r="H7" i="9"/>
  <c r="H8" i="9"/>
  <c r="H9" i="9"/>
  <c r="H4" i="9"/>
  <c r="G5" i="9"/>
  <c r="G6" i="9"/>
  <c r="G7" i="9"/>
  <c r="G8" i="9"/>
  <c r="G9" i="9"/>
  <c r="G4" i="9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4" i="8"/>
  <c r="I13" i="7"/>
  <c r="I11" i="7"/>
  <c r="F16" i="7"/>
  <c r="F14" i="7"/>
  <c r="I6" i="7"/>
  <c r="I4" i="7"/>
  <c r="M13" i="6"/>
  <c r="M10" i="6"/>
  <c r="M7" i="6"/>
  <c r="M5" i="6"/>
  <c r="F16" i="6"/>
  <c r="F14" i="6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4" i="5"/>
  <c r="H5" i="4"/>
  <c r="H6" i="4"/>
  <c r="H7" i="4"/>
  <c r="H8" i="4"/>
  <c r="H9" i="4"/>
  <c r="H10" i="4"/>
  <c r="H11" i="4"/>
  <c r="H12" i="4"/>
  <c r="H4" i="4"/>
  <c r="F15" i="3"/>
  <c r="L5" i="3"/>
  <c r="L4" i="3"/>
  <c r="F16" i="2"/>
  <c r="E16" i="2"/>
  <c r="I5" i="2"/>
  <c r="I6" i="2"/>
  <c r="I7" i="2"/>
  <c r="I8" i="2"/>
  <c r="I9" i="2"/>
  <c r="I10" i="2"/>
  <c r="I11" i="2"/>
  <c r="I12" i="2"/>
  <c r="I13" i="2"/>
  <c r="I4" i="2"/>
  <c r="H5" i="2"/>
  <c r="H6" i="2"/>
  <c r="H7" i="2"/>
  <c r="H8" i="2"/>
  <c r="H9" i="2"/>
  <c r="H10" i="2"/>
  <c r="H11" i="2"/>
  <c r="H12" i="2"/>
  <c r="H13" i="2"/>
  <c r="H4" i="2"/>
  <c r="J25" i="8"/>
  <c r="J24" i="8"/>
  <c r="J23" i="8"/>
  <c r="J22" i="8"/>
  <c r="J21" i="8"/>
  <c r="I21" i="8"/>
  <c r="H21" i="8"/>
  <c r="G21" i="8"/>
  <c r="J20" i="8"/>
  <c r="I20" i="8"/>
  <c r="H20" i="8"/>
  <c r="G20" i="8"/>
  <c r="J19" i="8"/>
  <c r="J18" i="8"/>
  <c r="F15" i="7"/>
  <c r="F13" i="7"/>
  <c r="K13" i="6"/>
  <c r="K10" i="6"/>
  <c r="K7" i="6"/>
  <c r="K5" i="6"/>
  <c r="G12" i="4"/>
  <c r="G11" i="4"/>
  <c r="G10" i="4"/>
  <c r="G9" i="4"/>
  <c r="G8" i="4"/>
  <c r="G7" i="4"/>
  <c r="G6" i="4"/>
  <c r="G5" i="4"/>
  <c r="G4" i="4"/>
  <c r="G17" i="2"/>
  <c r="F17" i="2"/>
  <c r="E17" i="2"/>
  <c r="G16" i="2"/>
</calcChain>
</file>

<file path=xl/sharedStrings.xml><?xml version="1.0" encoding="utf-8"?>
<sst xmlns="http://schemas.openxmlformats.org/spreadsheetml/2006/main" count="436" uniqueCount="298">
  <si>
    <t xml:space="preserve">Excel Functions </t>
  </si>
  <si>
    <t xml:space="preserve">                                                                      SUM(),  AVERAGE(), MAX(), MIN()</t>
  </si>
  <si>
    <t>1. Basic Functions</t>
  </si>
  <si>
    <t>1. SUM() Adds two or more numbers together to calculate the total.</t>
  </si>
  <si>
    <t>2. MIN() Finds the smallest number in a range of cells.</t>
  </si>
  <si>
    <t>3. MAX() Finds the largest number in a range of cells.</t>
  </si>
  <si>
    <t>4. COUNT() Counts how many cells contain numbers in a selected range.</t>
  </si>
  <si>
    <t>5. AVERAGE() Calculates the average of the numbers in a selected range.</t>
  </si>
  <si>
    <r>
      <rPr>
        <sz val="11"/>
        <color theme="1"/>
        <rFont val="Aptos Narrow"/>
      </rPr>
      <t xml:space="preserve">                                                                                                                                                                                      </t>
    </r>
    <r>
      <rPr>
        <b/>
        <sz val="18"/>
        <color theme="1"/>
        <rFont val="Aptos Narrow"/>
      </rPr>
      <t xml:space="preserve">      IF &amp; NESTED IF</t>
    </r>
  </si>
  <si>
    <t>2. Logical Function</t>
  </si>
  <si>
    <t>6. IF() Checks whether a condition is true or false and returns a result based on the condition.</t>
  </si>
  <si>
    <t>3. Conditional Functions</t>
  </si>
  <si>
    <t>7. SUMIF() Adds values only when they satisfy a specified condition.</t>
  </si>
  <si>
    <t>8. COUNTIF() Counts the cells that satisfy a specified condition.</t>
  </si>
  <si>
    <t>9. AVERAGEIF() Calculates the average of values that satisfy a specified condition.</t>
  </si>
  <si>
    <t>4. Text Functions</t>
  </si>
  <si>
    <t>10. RIGHT() Extracts a specified number of characters from the right side of a text string.</t>
  </si>
  <si>
    <t>11. LEFT() Extracts a specified number of characters from the left side of a text string.</t>
  </si>
  <si>
    <t>12. MID() Extracts a specified number of characters from the middle of a text string, starting at a given position.</t>
  </si>
  <si>
    <t>13. UPPER() Converts all letters in a text string to uppercase.</t>
  </si>
  <si>
    <t>14. LOWER() Converts all letters in a text string to lowercase.</t>
  </si>
  <si>
    <t>15. PROPER() Converts text so that the first letter of each word is uppercase and the remaining letters are lowercase.</t>
  </si>
  <si>
    <t xml:space="preserve">                                                                      COUNT(),COUNTA(),ABSOLUTE(),SQRT(),PRODUCT(),POWER()</t>
  </si>
  <si>
    <t>NO</t>
  </si>
  <si>
    <t>NAME</t>
  </si>
  <si>
    <t>ROLL NO</t>
  </si>
  <si>
    <t>MARK-1</t>
  </si>
  <si>
    <t>MARK-2</t>
  </si>
  <si>
    <t>MARK-3</t>
  </si>
  <si>
    <t>TOTAL</t>
  </si>
  <si>
    <t>AVERAGE</t>
  </si>
  <si>
    <t>EMPLOYEE'S NO</t>
  </si>
  <si>
    <t>ASKER</t>
  </si>
  <si>
    <t>0000001</t>
  </si>
  <si>
    <t>EMPLOYEE'S NAME</t>
  </si>
  <si>
    <t>Qtr. 1</t>
  </si>
  <si>
    <t>Qtr. 2</t>
  </si>
  <si>
    <t>Qtr. 3</t>
  </si>
  <si>
    <t>Qtr. 4</t>
  </si>
  <si>
    <t xml:space="preserve">INCREMENT OPTION 1 </t>
  </si>
  <si>
    <t>Sales Rep</t>
  </si>
  <si>
    <t>A1001</t>
  </si>
  <si>
    <t>AFRATH</t>
  </si>
  <si>
    <t>Aananth</t>
  </si>
  <si>
    <t>0000002</t>
  </si>
  <si>
    <t>NISAR</t>
  </si>
  <si>
    <t>0000003</t>
  </si>
  <si>
    <t>Q 1</t>
  </si>
  <si>
    <t>Q 2</t>
  </si>
  <si>
    <t>AMJATH</t>
  </si>
  <si>
    <t>0000004</t>
  </si>
  <si>
    <t>Q 3</t>
  </si>
  <si>
    <t>Q 4</t>
  </si>
  <si>
    <t>RAMU</t>
  </si>
  <si>
    <t>0000005</t>
  </si>
  <si>
    <t>AJESH</t>
  </si>
  <si>
    <t>0000006</t>
  </si>
  <si>
    <t>NOUFAL</t>
  </si>
  <si>
    <t>0000007</t>
  </si>
  <si>
    <t>ANVER</t>
  </si>
  <si>
    <t>0000008</t>
  </si>
  <si>
    <t>BALU</t>
  </si>
  <si>
    <t>0000009</t>
  </si>
  <si>
    <t>KARTHIK</t>
  </si>
  <si>
    <t>0000010</t>
  </si>
  <si>
    <t>A1002</t>
  </si>
  <si>
    <t>Sanker</t>
  </si>
  <si>
    <t>MAXIMUM</t>
  </si>
  <si>
    <t>A1003</t>
  </si>
  <si>
    <t>Sara</t>
  </si>
  <si>
    <t>Asver</t>
  </si>
  <si>
    <t>A1005</t>
  </si>
  <si>
    <t>Rifan</t>
  </si>
  <si>
    <t>A1006</t>
  </si>
  <si>
    <t>Aslath</t>
  </si>
  <si>
    <t>A1007</t>
  </si>
  <si>
    <t>Mohamed</t>
  </si>
  <si>
    <t>A1008</t>
  </si>
  <si>
    <t>Anver</t>
  </si>
  <si>
    <t>A1009</t>
  </si>
  <si>
    <t>Asker</t>
  </si>
  <si>
    <t>Count</t>
  </si>
  <si>
    <t>MINIMUM</t>
  </si>
  <si>
    <t>sara</t>
  </si>
  <si>
    <t>Transportation Manager Shipment_Data</t>
  </si>
  <si>
    <t>Anamika</t>
  </si>
  <si>
    <t>Anjal</t>
  </si>
  <si>
    <t>Shipment ID</t>
  </si>
  <si>
    <t>Origin</t>
  </si>
  <si>
    <t>Destination</t>
  </si>
  <si>
    <t>Transport Mode</t>
  </si>
  <si>
    <t>Cost (₹)</t>
  </si>
  <si>
    <t>Delivery Days</t>
  </si>
  <si>
    <t>Delivery Status</t>
  </si>
  <si>
    <t>Urgent</t>
  </si>
  <si>
    <t xml:space="preserve">High/Normal Cost
</t>
  </si>
  <si>
    <t>T001</t>
  </si>
  <si>
    <t>Cochin</t>
  </si>
  <si>
    <t>Mumbai</t>
  </si>
  <si>
    <t>Road</t>
  </si>
  <si>
    <t xml:space="preserve">Q1) Calculate the number of sales rap ?
</t>
  </si>
  <si>
    <t>Delivered</t>
  </si>
  <si>
    <t>Yes</t>
  </si>
  <si>
    <r>
      <rPr>
        <sz val="11"/>
        <color rgb="FFFF0000"/>
        <rFont val="Aptos Narrow"/>
      </rPr>
      <t>❓</t>
    </r>
    <r>
      <rPr>
        <sz val="11"/>
        <color theme="1"/>
        <rFont val="Aptos Narrow"/>
      </rPr>
      <t xml:space="preserve">IF cost is more than ₹10,000, mark as </t>
    </r>
    <r>
      <rPr>
        <b/>
        <sz val="11"/>
        <color theme="1"/>
        <rFont val="Aptos Narrow"/>
      </rPr>
      <t>“High Cost”</t>
    </r>
    <r>
      <rPr>
        <sz val="11"/>
        <color theme="1"/>
        <rFont val="Aptos Narrow"/>
      </rPr>
      <t xml:space="preserve">, else </t>
    </r>
    <r>
      <rPr>
        <b/>
        <sz val="11"/>
        <color theme="1"/>
        <rFont val="Aptos Narrow"/>
      </rPr>
      <t>“Normal Cost”</t>
    </r>
  </si>
  <si>
    <t>T002</t>
  </si>
  <si>
    <t>Delhi</t>
  </si>
  <si>
    <t>Kolkata</t>
  </si>
  <si>
    <t>Rail</t>
  </si>
  <si>
    <t>Pending</t>
  </si>
  <si>
    <t>No</t>
  </si>
  <si>
    <t>T003</t>
  </si>
  <si>
    <t>Bangalore</t>
  </si>
  <si>
    <t>Chennai</t>
  </si>
  <si>
    <t>T004</t>
  </si>
  <si>
    <t>Hyderabad</t>
  </si>
  <si>
    <t>Air</t>
  </si>
  <si>
    <t>T005</t>
  </si>
  <si>
    <t>Cancelled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</si>
  <si>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</si>
  <si>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</si>
  <si>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</si>
  <si>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</si>
  <si>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</si>
  <si>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</si>
  <si>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</si>
  <si>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</si>
  <si>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</si>
  <si>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</si>
  <si>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r>
      <rPr>
        <sz val="11"/>
        <color rgb="FF000000"/>
        <rFont val="Calibri"/>
      </rPr>
      <t xml:space="preserve">                                                                                                                                                                                     </t>
    </r>
    <r>
      <rPr>
        <b/>
        <sz val="18"/>
        <color rgb="FF000000"/>
        <rFont val="Calibri"/>
      </rPr>
      <t>SUMIF() &amp; COUNTIF()</t>
    </r>
  </si>
  <si>
    <t>SALES ZONE</t>
  </si>
  <si>
    <t>SALES MAN</t>
  </si>
  <si>
    <t>MODEL NO</t>
  </si>
  <si>
    <t>COLORS</t>
  </si>
  <si>
    <t>TOTAL SALES</t>
  </si>
  <si>
    <t>EAST</t>
  </si>
  <si>
    <t>Ajmal</t>
  </si>
  <si>
    <t>SG M30s</t>
  </si>
  <si>
    <t>Black</t>
  </si>
  <si>
    <t>SG M31</t>
  </si>
  <si>
    <t>Red</t>
  </si>
  <si>
    <t>Tottal sales of Ajmal</t>
  </si>
  <si>
    <t>NORTH</t>
  </si>
  <si>
    <t>Mukesh</t>
  </si>
  <si>
    <t>Grey</t>
  </si>
  <si>
    <t>SG S20 Ultra</t>
  </si>
  <si>
    <t>Blue</t>
  </si>
  <si>
    <t>east</t>
  </si>
  <si>
    <t>Tottal Sales in East Zone</t>
  </si>
  <si>
    <t>Ajaz</t>
  </si>
  <si>
    <t>SG A70</t>
  </si>
  <si>
    <t>WEST</t>
  </si>
  <si>
    <t>SG A50s</t>
  </si>
  <si>
    <t>Golden</t>
  </si>
  <si>
    <t>SOUTH</t>
  </si>
  <si>
    <t>Silver</t>
  </si>
  <si>
    <t>Total sales of Balck color model</t>
  </si>
  <si>
    <t>west</t>
  </si>
  <si>
    <t>Total sales of West Zone</t>
  </si>
  <si>
    <t xml:space="preserve">      Tottal sale</t>
  </si>
  <si>
    <r>
      <rPr>
        <sz val="11"/>
        <color rgb="FF000000"/>
        <rFont val="Calibri"/>
      </rPr>
      <t xml:space="preserve">                                                                                                                           </t>
    </r>
    <r>
      <rPr>
        <b/>
        <sz val="18"/>
        <color rgb="FF000000"/>
        <rFont val="Calibri"/>
      </rPr>
      <t>COUNTIF()</t>
    </r>
    <r>
      <rPr>
        <sz val="11"/>
        <color rgb="FF000000"/>
        <rFont val="Calibri"/>
      </rPr>
      <t>,</t>
    </r>
    <r>
      <rPr>
        <b/>
        <sz val="18"/>
        <color rgb="FF000000"/>
        <rFont val="Calibri"/>
      </rPr>
      <t xml:space="preserve"> AVERAGEIF()</t>
    </r>
  </si>
  <si>
    <t>COUNTIF()</t>
  </si>
  <si>
    <t>Count of total sales of ajmal</t>
  </si>
  <si>
    <t>Total count of black color model</t>
  </si>
  <si>
    <t>AVERAGEIF()</t>
  </si>
  <si>
    <t>Average total sales of ajmal</t>
  </si>
  <si>
    <t>Average total sales of Black Model</t>
  </si>
  <si>
    <t>Average</t>
  </si>
  <si>
    <r>
      <rPr>
        <b/>
        <sz val="20"/>
        <color theme="1"/>
        <rFont val="Aptos Narrow"/>
      </rPr>
      <t xml:space="preserve">                                                                </t>
    </r>
    <r>
      <rPr>
        <b/>
        <sz val="18"/>
        <color theme="1"/>
        <rFont val="Aptos Narrow"/>
      </rPr>
      <t>LEFT, RIGHT, MID, UPPER, LOWER</t>
    </r>
  </si>
  <si>
    <t xml:space="preserve"> Emp.Name</t>
  </si>
  <si>
    <t>Emp.ID</t>
  </si>
  <si>
    <t>Product ID</t>
  </si>
  <si>
    <t>Order Number</t>
  </si>
  <si>
    <t>Product Code LEFT</t>
  </si>
  <si>
    <t>Emp ID No.(RIGHT)</t>
  </si>
  <si>
    <t>MID FUNCTION
year</t>
  </si>
  <si>
    <t xml:space="preserve">UPPER FUNCTION
</t>
  </si>
  <si>
    <t xml:space="preserve">LOWER FUNCTION
</t>
  </si>
  <si>
    <t>PROPER</t>
  </si>
  <si>
    <t>Sanfer</t>
  </si>
  <si>
    <t>MS00001</t>
  </si>
  <si>
    <t>ABC12345</t>
  </si>
  <si>
    <t>ORD20231234</t>
  </si>
  <si>
    <t>MS00002</t>
  </si>
  <si>
    <t>DEF98765</t>
  </si>
  <si>
    <t>ORD20239876</t>
  </si>
  <si>
    <t>MS00003</t>
  </si>
  <si>
    <t>GHE54321</t>
  </si>
  <si>
    <t>ORD20245432</t>
  </si>
  <si>
    <t>Amjath</t>
  </si>
  <si>
    <t>MS00004</t>
  </si>
  <si>
    <t>JLM54322</t>
  </si>
  <si>
    <t>ORD20245433</t>
  </si>
  <si>
    <t>Rinaas</t>
  </si>
  <si>
    <t>MS00005</t>
  </si>
  <si>
    <t>YUC54323</t>
  </si>
  <si>
    <t>ORD20215434</t>
  </si>
  <si>
    <t>Rifnas</t>
  </si>
  <si>
    <t>MS00006</t>
  </si>
  <si>
    <t>PHO54324</t>
  </si>
  <si>
    <t>ORD20235435</t>
  </si>
  <si>
    <t>Bilaal</t>
  </si>
  <si>
    <t>MS00007</t>
  </si>
  <si>
    <t>OUI54325</t>
  </si>
  <si>
    <t>ORD20255436</t>
  </si>
  <si>
    <t>Hasan</t>
  </si>
  <si>
    <t>MS00008</t>
  </si>
  <si>
    <t>PHI54326</t>
  </si>
  <si>
    <t>ORD20235437</t>
  </si>
  <si>
    <t>Musthaq</t>
  </si>
  <si>
    <t>MS00009</t>
  </si>
  <si>
    <t>BHI54327</t>
  </si>
  <si>
    <t>ORD20235438</t>
  </si>
  <si>
    <t>Sameer</t>
  </si>
  <si>
    <t>MS00010</t>
  </si>
  <si>
    <t>KHI54328</t>
  </si>
  <si>
    <t>ORD20225439</t>
  </si>
  <si>
    <t>MS00011</t>
  </si>
  <si>
    <t>KHI54329</t>
  </si>
  <si>
    <t>ORD20235440</t>
  </si>
  <si>
    <t>Amnaan</t>
  </si>
  <si>
    <t>MS00012</t>
  </si>
  <si>
    <t>YHI54330</t>
  </si>
  <si>
    <t>ORD20235441</t>
  </si>
  <si>
    <t>Hamthan</t>
  </si>
  <si>
    <t>MS00013</t>
  </si>
  <si>
    <t>OHI54331</t>
  </si>
  <si>
    <t>ORD20245442</t>
  </si>
  <si>
    <t>Rahmaan</t>
  </si>
  <si>
    <t>MS00014</t>
  </si>
  <si>
    <t>YHI54332</t>
  </si>
  <si>
    <t>ORD2022443</t>
  </si>
  <si>
    <t>Import/Export Log (June 2025)</t>
  </si>
  <si>
    <t>Port Code</t>
  </si>
  <si>
    <t>Container Type</t>
  </si>
  <si>
    <t>Description</t>
  </si>
  <si>
    <t>shipment Type</t>
  </si>
  <si>
    <t>serial No.</t>
  </si>
  <si>
    <t>Shipment Year</t>
  </si>
  <si>
    <t>Upper</t>
  </si>
  <si>
    <t>Lower</t>
  </si>
  <si>
    <t>IMP-2024-01</t>
  </si>
  <si>
    <t>INMUMBAI</t>
  </si>
  <si>
    <t>20FT</t>
  </si>
  <si>
    <t>plastic goods</t>
  </si>
  <si>
    <t>new york</t>
  </si>
  <si>
    <t>EXP-2023-89</t>
  </si>
  <si>
    <t>INCOKCHI</t>
  </si>
  <si>
    <t>40FT</t>
  </si>
  <si>
    <t>electrical equipment</t>
  </si>
  <si>
    <t>DUBAI</t>
  </si>
  <si>
    <t>IMP-2024-23</t>
  </si>
  <si>
    <t>INSURAT</t>
  </si>
  <si>
    <t>textile rolls</t>
  </si>
  <si>
    <t>london</t>
  </si>
  <si>
    <t>EXP-2023-45</t>
  </si>
  <si>
    <t>INCHENNAI</t>
  </si>
  <si>
    <t>machinery parts</t>
  </si>
  <si>
    <t>sydney</t>
  </si>
  <si>
    <t>EXP-2024-11</t>
  </si>
  <si>
    <t>INDELHI</t>
  </si>
  <si>
    <t>automotive accessories</t>
  </si>
  <si>
    <t>HAMBURG</t>
  </si>
  <si>
    <t>IMP-2023-07</t>
  </si>
  <si>
    <t>INTUTICOR</t>
  </si>
  <si>
    <t>ceramic items</t>
  </si>
  <si>
    <t>melbourne</t>
  </si>
  <si>
    <r>
      <rPr>
        <u/>
        <sz val="16"/>
        <color rgb="FF45B0E1"/>
        <rFont val="Aptos Narrow"/>
      </rPr>
      <t>🔍</t>
    </r>
    <r>
      <rPr>
        <u/>
        <sz val="16"/>
        <color theme="1"/>
        <rFont val="Aptos Narrow"/>
      </rPr>
      <t xml:space="preserve"> </t>
    </r>
    <r>
      <rPr>
        <b/>
        <u/>
        <sz val="16"/>
        <color theme="1"/>
        <rFont val="Aptos Narrow"/>
      </rPr>
      <t>Column Explanations:</t>
    </r>
  </si>
  <si>
    <r>
      <rPr>
        <sz val="11"/>
        <color rgb="FFFF0000"/>
        <rFont val="Aptos Narrow"/>
      </rPr>
      <t>❓</t>
    </r>
    <r>
      <rPr>
        <sz val="11"/>
        <color theme="1"/>
        <rFont val="Aptos Narrow"/>
      </rPr>
      <t>Extract type of shipment (IMP/EXP) from Shipment ID</t>
    </r>
  </si>
  <si>
    <t>1. Shipment ID</t>
  </si>
  <si>
    <r>
      <rPr>
        <sz val="11"/>
        <color rgb="FFFF0000"/>
        <rFont val="Aptos Narrow"/>
      </rPr>
      <t>❓</t>
    </r>
    <r>
      <rPr>
        <sz val="11"/>
        <color theme="1"/>
        <rFont val="Aptos Narrow"/>
      </rPr>
      <t>Extract serial no(Last Digits) from Shipment ID</t>
    </r>
  </si>
  <si>
    <r>
      <rPr>
        <sz val="11"/>
        <color theme="1"/>
        <rFont val="Aptos Narrow"/>
      </rPr>
      <t xml:space="preserve">Format: </t>
    </r>
    <r>
      <rPr>
        <sz val="10"/>
        <color theme="1"/>
        <rFont val="Arial Unicode MS"/>
      </rPr>
      <t>IMP-2024-01</t>
    </r>
    <r>
      <rPr>
        <sz val="11"/>
        <color theme="1"/>
        <rFont val="Aptos Narrow"/>
      </rPr>
      <t xml:space="preserve"> or </t>
    </r>
    <r>
      <rPr>
        <sz val="10"/>
        <color theme="1"/>
        <rFont val="Arial Unicode MS"/>
      </rPr>
      <t>EXP-2023-45</t>
    </r>
  </si>
  <si>
    <r>
      <rPr>
        <sz val="11"/>
        <color rgb="FFFF0000"/>
        <rFont val="Aptos Narrow"/>
      </rPr>
      <t>❓</t>
    </r>
    <r>
      <rPr>
        <sz val="11"/>
        <color theme="1"/>
        <rFont val="Aptos Narrow"/>
      </rPr>
      <t>Extract year from Shipment ID (e.g., 2024 from "IMP-2024-01")</t>
    </r>
  </si>
  <si>
    <r>
      <rPr>
        <b/>
        <sz val="11"/>
        <color theme="1"/>
        <rFont val="Aptos Narrow"/>
      </rPr>
      <t>IMP</t>
    </r>
    <r>
      <rPr>
        <sz val="11"/>
        <color theme="1"/>
        <rFont val="Aptos Narrow"/>
      </rPr>
      <t xml:space="preserve"> = Import shipment</t>
    </r>
  </si>
  <si>
    <r>
      <rPr>
        <sz val="11"/>
        <color rgb="FFFF0000"/>
        <rFont val="Aptos Narrow"/>
      </rPr>
      <t>❓</t>
    </r>
    <r>
      <rPr>
        <sz val="11"/>
        <color theme="1"/>
        <rFont val="Aptos Narrow"/>
      </rPr>
      <t>Convert destination name to uppercase and uppercase</t>
    </r>
  </si>
  <si>
    <r>
      <rPr>
        <b/>
        <sz val="11"/>
        <color theme="1"/>
        <rFont val="Aptos Narrow"/>
      </rPr>
      <t>EXP</t>
    </r>
    <r>
      <rPr>
        <sz val="11"/>
        <color theme="1"/>
        <rFont val="Aptos Narrow"/>
      </rPr>
      <t xml:space="preserve"> = Export shipment</t>
    </r>
  </si>
  <si>
    <r>
      <rPr>
        <b/>
        <sz val="11"/>
        <color theme="1"/>
        <rFont val="Aptos Narrow"/>
      </rPr>
      <t>2024</t>
    </r>
    <r>
      <rPr>
        <sz val="11"/>
        <color theme="1"/>
        <rFont val="Aptos Narrow"/>
      </rPr>
      <t xml:space="preserve"> = Year</t>
    </r>
  </si>
  <si>
    <r>
      <rPr>
        <b/>
        <sz val="11"/>
        <color theme="1"/>
        <rFont val="Aptos Narrow"/>
      </rPr>
      <t>01/45</t>
    </r>
    <r>
      <rPr>
        <sz val="11"/>
        <color theme="1"/>
        <rFont val="Aptos Narrow"/>
      </rPr>
      <t xml:space="preserve"> = Serial number of the shipment</t>
    </r>
  </si>
  <si>
    <r>
      <rPr>
        <sz val="11"/>
        <color rgb="FFFF0000"/>
        <rFont val="Aptos Narrow"/>
      </rPr>
      <t>📌</t>
    </r>
    <r>
      <rPr>
        <sz val="11"/>
        <color theme="1"/>
        <rFont val="Aptos Narrow"/>
      </rPr>
      <t xml:space="preserve"> </t>
    </r>
    <r>
      <rPr>
        <i/>
        <sz val="11"/>
        <color theme="1"/>
        <rFont val="Aptos Narrow"/>
      </rPr>
      <t>Used for tracking and identification of each shipment.</t>
    </r>
  </si>
  <si>
    <t>2. Port Code</t>
  </si>
  <si>
    <r>
      <rPr>
        <sz val="11"/>
        <color theme="1"/>
        <rFont val="Aptos Narrow"/>
      </rPr>
      <t xml:space="preserve">Example: </t>
    </r>
    <r>
      <rPr>
        <sz val="10"/>
        <color theme="1"/>
        <rFont val="Arial Unicode MS"/>
      </rPr>
      <t>INMUMBAI</t>
    </r>
    <r>
      <rPr>
        <sz val="11"/>
        <color theme="1"/>
        <rFont val="Aptos Narrow"/>
      </rPr>
      <t xml:space="preserve">, </t>
    </r>
    <r>
      <rPr>
        <sz val="10"/>
        <color theme="1"/>
        <rFont val="Arial Unicode MS"/>
      </rPr>
      <t>INCOKCHI</t>
    </r>
    <r>
      <rPr>
        <sz val="11"/>
        <color theme="1"/>
        <rFont val="Aptos Narrow"/>
      </rPr>
      <t xml:space="preserve">, </t>
    </r>
    <r>
      <rPr>
        <sz val="10"/>
        <color theme="1"/>
        <rFont val="Arial Unicode MS"/>
      </rPr>
      <t>INDELHI</t>
    </r>
  </si>
  <si>
    <r>
      <rPr>
        <sz val="11"/>
        <color theme="1"/>
        <rFont val="Aptos Narrow"/>
      </rPr>
      <t xml:space="preserve">Format: </t>
    </r>
    <r>
      <rPr>
        <sz val="10"/>
        <color theme="1"/>
        <rFont val="Arial Unicode MS"/>
      </rPr>
      <t>IN</t>
    </r>
    <r>
      <rPr>
        <sz val="11"/>
        <color theme="1"/>
        <rFont val="Aptos Narrow"/>
      </rPr>
      <t xml:space="preserve"> + port city (e.g., </t>
    </r>
    <r>
      <rPr>
        <sz val="10"/>
        <color theme="1"/>
        <rFont val="Arial Unicode MS"/>
      </rPr>
      <t>INMUMBAI</t>
    </r>
    <r>
      <rPr>
        <sz val="11"/>
        <color theme="1"/>
        <rFont val="Aptos Narrow"/>
      </rPr>
      <t xml:space="preserve"> = India - Mumbai)</t>
    </r>
  </si>
  <si>
    <r>
      <rPr>
        <sz val="11"/>
        <color theme="1"/>
        <rFont val="Aptos Narrow"/>
      </rPr>
      <t xml:space="preserve">Indicates the </t>
    </r>
    <r>
      <rPr>
        <b/>
        <sz val="11"/>
        <color theme="1"/>
        <rFont val="Aptos Narrow"/>
      </rPr>
      <t>port of origin</t>
    </r>
    <r>
      <rPr>
        <sz val="11"/>
        <color theme="1"/>
        <rFont val="Aptos Narrow"/>
      </rPr>
      <t xml:space="preserve"> in India</t>
    </r>
  </si>
  <si>
    <r>
      <rPr>
        <sz val="11"/>
        <color rgb="FFFF0000"/>
        <rFont val="Aptos Narrow"/>
      </rPr>
      <t>📌</t>
    </r>
    <r>
      <rPr>
        <sz val="11"/>
        <color theme="1"/>
        <rFont val="Aptos Narrow"/>
      </rPr>
      <t xml:space="preserve"> </t>
    </r>
    <r>
      <rPr>
        <i/>
        <sz val="11"/>
        <color theme="1"/>
        <rFont val="Aptos Narrow"/>
      </rPr>
      <t>Used to identify from which Indian port the goods are shipped or received.</t>
    </r>
  </si>
  <si>
    <t>3. Container Type</t>
  </si>
  <si>
    <r>
      <rPr>
        <sz val="11"/>
        <color theme="1"/>
        <rFont val="Aptos Narrow"/>
      </rPr>
      <t xml:space="preserve">Example: </t>
    </r>
    <r>
      <rPr>
        <sz val="10"/>
        <color theme="1"/>
        <rFont val="Arial Unicode MS"/>
      </rPr>
      <t>20FT</t>
    </r>
    <r>
      <rPr>
        <sz val="11"/>
        <color theme="1"/>
        <rFont val="Aptos Narrow"/>
      </rPr>
      <t xml:space="preserve">, </t>
    </r>
    <r>
      <rPr>
        <sz val="10"/>
        <color theme="1"/>
        <rFont val="Arial Unicode MS"/>
      </rPr>
      <t>40FT</t>
    </r>
  </si>
  <si>
    <r>
      <rPr>
        <sz val="11"/>
        <color theme="1"/>
        <rFont val="Aptos Narrow"/>
      </rPr>
      <t xml:space="preserve">Indicates the </t>
    </r>
    <r>
      <rPr>
        <b/>
        <sz val="11"/>
        <color theme="1"/>
        <rFont val="Aptos Narrow"/>
      </rPr>
      <t>size of the shipping container</t>
    </r>
    <r>
      <rPr>
        <sz val="11"/>
        <color theme="1"/>
        <rFont val="Aptos Narrow"/>
      </rPr>
      <t>:</t>
    </r>
  </si>
  <si>
    <r>
      <rPr>
        <sz val="10"/>
        <color theme="1"/>
        <rFont val="Arimo"/>
      </rPr>
      <t>20FT</t>
    </r>
    <r>
      <rPr>
        <sz val="11"/>
        <color theme="1"/>
        <rFont val="Aptos Narrow"/>
      </rPr>
      <t xml:space="preserve"> = 20-foot container</t>
    </r>
  </si>
  <si>
    <r>
      <rPr>
        <sz val="10"/>
        <color theme="1"/>
        <rFont val="Arimo"/>
      </rPr>
      <t>40FT</t>
    </r>
    <r>
      <rPr>
        <sz val="11"/>
        <color theme="1"/>
        <rFont val="Aptos Narrow"/>
      </rPr>
      <t xml:space="preserve"> = 40-foot container</t>
    </r>
  </si>
  <si>
    <r>
      <rPr>
        <sz val="11"/>
        <color rgb="FFFF0000"/>
        <rFont val="Aptos Narrow"/>
      </rPr>
      <t>📌</t>
    </r>
    <r>
      <rPr>
        <sz val="11"/>
        <color theme="1"/>
        <rFont val="Aptos Narrow"/>
      </rPr>
      <t xml:space="preserve"> </t>
    </r>
    <r>
      <rPr>
        <i/>
        <sz val="11"/>
        <color theme="1"/>
        <rFont val="Aptos Narrow"/>
      </rPr>
      <t>Used to manage space and transport costs.</t>
    </r>
  </si>
  <si>
    <t>4. Description</t>
  </si>
  <si>
    <r>
      <rPr>
        <sz val="11"/>
        <color theme="1"/>
        <rFont val="Aptos Narrow"/>
      </rPr>
      <t xml:space="preserve">Examples: </t>
    </r>
    <r>
      <rPr>
        <sz val="10"/>
        <color theme="1"/>
        <rFont val="Arial Unicode MS"/>
      </rPr>
      <t>plastic goods</t>
    </r>
    <r>
      <rPr>
        <sz val="11"/>
        <color theme="1"/>
        <rFont val="Aptos Narrow"/>
      </rPr>
      <t xml:space="preserve">, </t>
    </r>
    <r>
      <rPr>
        <sz val="10"/>
        <color theme="1"/>
        <rFont val="Arial Unicode MS"/>
      </rPr>
      <t>textile rolls</t>
    </r>
    <r>
      <rPr>
        <sz val="11"/>
        <color theme="1"/>
        <rFont val="Aptos Narrow"/>
      </rPr>
      <t xml:space="preserve">, </t>
    </r>
    <r>
      <rPr>
        <sz val="10"/>
        <color theme="1"/>
        <rFont val="Arial Unicode MS"/>
      </rPr>
      <t>machinery parts</t>
    </r>
  </si>
  <si>
    <r>
      <rPr>
        <sz val="11"/>
        <color theme="1"/>
        <rFont val="Aptos Narrow"/>
      </rPr>
      <t xml:space="preserve">Describes the </t>
    </r>
    <r>
      <rPr>
        <b/>
        <sz val="11"/>
        <color theme="1"/>
        <rFont val="Aptos Narrow"/>
      </rPr>
      <t>type of goods</t>
    </r>
    <r>
      <rPr>
        <sz val="11"/>
        <color theme="1"/>
        <rFont val="Aptos Narrow"/>
      </rPr>
      <t xml:space="preserve"> being imported or exported.</t>
    </r>
  </si>
  <si>
    <r>
      <rPr>
        <sz val="11"/>
        <color rgb="FFFF0000"/>
        <rFont val="Aptos Narrow"/>
      </rPr>
      <t>📌</t>
    </r>
    <r>
      <rPr>
        <sz val="11"/>
        <color theme="1"/>
        <rFont val="Aptos Narrow"/>
      </rPr>
      <t xml:space="preserve"> </t>
    </r>
    <r>
      <rPr>
        <i/>
        <sz val="11"/>
        <color theme="1"/>
        <rFont val="Aptos Narrow"/>
      </rPr>
      <t>Used for customs, documentation, and classification.</t>
    </r>
  </si>
  <si>
    <t>5. Destination</t>
  </si>
  <si>
    <r>
      <rPr>
        <sz val="11"/>
        <color theme="1"/>
        <rFont val="Aptos Narrow"/>
      </rPr>
      <t xml:space="preserve">Examples: </t>
    </r>
    <r>
      <rPr>
        <sz val="10"/>
        <color theme="1"/>
        <rFont val="Arial Unicode MS"/>
      </rPr>
      <t>new york</t>
    </r>
    <r>
      <rPr>
        <sz val="11"/>
        <color theme="1"/>
        <rFont val="Aptos Narrow"/>
      </rPr>
      <t xml:space="preserve">, </t>
    </r>
    <r>
      <rPr>
        <sz val="10"/>
        <color theme="1"/>
        <rFont val="Arial Unicode MS"/>
      </rPr>
      <t>DUBAI</t>
    </r>
    <r>
      <rPr>
        <sz val="11"/>
        <color theme="1"/>
        <rFont val="Aptos Narrow"/>
      </rPr>
      <t xml:space="preserve">, </t>
    </r>
    <r>
      <rPr>
        <sz val="10"/>
        <color theme="1"/>
        <rFont val="Arial Unicode MS"/>
      </rPr>
      <t>melbourne</t>
    </r>
  </si>
  <si>
    <r>
      <rPr>
        <sz val="11"/>
        <color theme="1"/>
        <rFont val="Aptos Narrow"/>
      </rPr>
      <t xml:space="preserve">Shows the </t>
    </r>
    <r>
      <rPr>
        <b/>
        <sz val="11"/>
        <color theme="1"/>
        <rFont val="Aptos Narrow"/>
      </rPr>
      <t>city or port where the goods are being sent to or received from</t>
    </r>
  </si>
  <si>
    <r>
      <rPr>
        <sz val="11"/>
        <color rgb="FFFF0000"/>
        <rFont val="Aptos Narrow"/>
      </rPr>
      <t>📌</t>
    </r>
    <r>
      <rPr>
        <sz val="11"/>
        <color theme="1"/>
        <rFont val="Aptos Narrow"/>
      </rPr>
      <t xml:space="preserve"> </t>
    </r>
    <r>
      <rPr>
        <i/>
        <sz val="11"/>
        <color theme="1"/>
        <rFont val="Aptos Narrow"/>
      </rPr>
      <t>Important for planning routes, scheduling, and customs clearance.</t>
    </r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</si>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</sst>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32">
    <font>
      <sz val="11"/>
      <color theme="1"/>
      <name val="Aptos Narrow"/>
      <scheme val="minor"/>
    </font>
    <font>
      <b/>
      <sz val="18"/>
      <color theme="1"/>
      <name val="Arial"/>
    </font>
    <font>
      <b/>
      <sz val="16"/>
      <color theme="1"/>
      <name val="Aptos Narrow"/>
    </font>
    <font>
      <b/>
      <u/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1"/>
      <name val="Aptos Narrow"/>
    </font>
    <font>
      <sz val="11"/>
      <color theme="1"/>
      <name val="Aptos Narrow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theme="1"/>
      <name val="Aptos Narrow"/>
    </font>
    <font>
      <b/>
      <sz val="11"/>
      <color rgb="FF000000"/>
      <name val="Calibri"/>
    </font>
    <font>
      <sz val="12"/>
      <color theme="1"/>
      <name val="Aptos Narrow"/>
    </font>
    <font>
      <b/>
      <sz val="14"/>
      <color rgb="FF000000"/>
      <name val="Calibri"/>
    </font>
    <font>
      <b/>
      <sz val="14"/>
      <color theme="1"/>
      <name val="Aptos Narrow"/>
    </font>
    <font>
      <b/>
      <sz val="12"/>
      <color theme="1"/>
      <name val="Aptos Narrow"/>
    </font>
    <font>
      <sz val="12"/>
      <color rgb="FF000000"/>
      <name val="Calibri"/>
    </font>
    <font>
      <b/>
      <u/>
      <sz val="18"/>
      <color theme="1"/>
      <name val="Aptos Narrow"/>
    </font>
    <font>
      <b/>
      <u/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theme="1"/>
      <name val="Arial"/>
    </font>
    <font>
      <b/>
      <sz val="20"/>
      <color theme="1"/>
      <name val="Aptos Narrow"/>
    </font>
    <font>
      <b/>
      <sz val="14"/>
      <color theme="1"/>
      <name val="Arial"/>
    </font>
    <font>
      <b/>
      <u/>
      <sz val="16"/>
      <color theme="1"/>
      <name val="Aptos Narrow"/>
    </font>
    <font>
      <u/>
      <sz val="16"/>
      <color theme="1"/>
      <name val="Aptos Narrow"/>
    </font>
    <font>
      <sz val="11"/>
      <color rgb="FFFF0000"/>
      <name val="Aptos Narrow"/>
    </font>
    <font>
      <sz val="10"/>
      <color theme="1"/>
      <name val="Arimo"/>
    </font>
    <font>
      <b/>
      <sz val="18"/>
      <color theme="1"/>
      <name val="Aptos Narrow"/>
    </font>
    <font>
      <b/>
      <sz val="18"/>
      <color rgb="FF000000"/>
      <name val="Calibri"/>
    </font>
    <font>
      <u/>
      <sz val="16"/>
      <color rgb="FF45B0E1"/>
      <name val="Aptos Narrow"/>
    </font>
    <font>
      <sz val="10"/>
      <color theme="1"/>
      <name val="Arial Unicode MS"/>
    </font>
    <font>
      <i/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83CAEB"/>
        <bgColor rgb="FF83CAEB"/>
      </patternFill>
    </fill>
    <fill>
      <patternFill patternType="solid">
        <fgColor rgb="FFF6C6AC"/>
        <bgColor rgb="FFF6C6A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/>
    </xf>
    <xf numFmtId="0" fontId="7" fillId="2" borderId="4" xfId="0" applyFont="1" applyFill="1" applyBorder="1"/>
    <xf numFmtId="0" fontId="6" fillId="0" borderId="0" xfId="0" applyFont="1"/>
    <xf numFmtId="49" fontId="7" fillId="2" borderId="4" xfId="0" applyNumberFormat="1" applyFont="1" applyFill="1" applyBorder="1"/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2" borderId="4" xfId="0" applyFont="1" applyFill="1" applyBorder="1"/>
    <xf numFmtId="0" fontId="9" fillId="0" borderId="4" xfId="0" applyFont="1" applyBorder="1"/>
    <xf numFmtId="49" fontId="8" fillId="2" borderId="4" xfId="0" applyNumberFormat="1" applyFont="1" applyFill="1" applyBorder="1"/>
    <xf numFmtId="0" fontId="10" fillId="2" borderId="4" xfId="0" applyFont="1" applyFill="1" applyBorder="1"/>
    <xf numFmtId="0" fontId="11" fillId="0" borderId="4" xfId="0" applyFont="1" applyBorder="1"/>
    <xf numFmtId="0" fontId="12" fillId="2" borderId="4" xfId="0" applyFont="1" applyFill="1" applyBorder="1"/>
    <xf numFmtId="164" fontId="11" fillId="0" borderId="4" xfId="0" applyNumberFormat="1" applyFont="1" applyBorder="1"/>
    <xf numFmtId="0" fontId="13" fillId="2" borderId="4" xfId="0" applyFont="1" applyFill="1" applyBorder="1" applyAlignment="1">
      <alignment vertical="center"/>
    </xf>
    <xf numFmtId="164" fontId="6" fillId="0" borderId="4" xfId="0" applyNumberFormat="1" applyFont="1" applyBorder="1"/>
    <xf numFmtId="0" fontId="14" fillId="2" borderId="4" xfId="0" applyFont="1" applyFill="1" applyBorder="1" applyAlignment="1">
      <alignment vertical="center"/>
    </xf>
    <xf numFmtId="0" fontId="15" fillId="2" borderId="4" xfId="0" applyFont="1" applyFill="1" applyBorder="1"/>
    <xf numFmtId="0" fontId="16" fillId="0" borderId="0" xfId="0" applyFont="1" applyAlignment="1">
      <alignment vertical="center"/>
    </xf>
    <xf numFmtId="0" fontId="9" fillId="2" borderId="4" xfId="0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3" borderId="4" xfId="0" applyFont="1" applyFill="1" applyBorder="1" applyAlignment="1">
      <alignment vertical="center"/>
    </xf>
    <xf numFmtId="0" fontId="12" fillId="2" borderId="4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center" vertical="center" wrapText="1" readingOrder="1"/>
    </xf>
    <xf numFmtId="0" fontId="10" fillId="2" borderId="4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 wrapText="1" readingOrder="1"/>
    </xf>
    <xf numFmtId="0" fontId="17" fillId="2" borderId="4" xfId="0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 wrapText="1" readingOrder="1"/>
    </xf>
    <xf numFmtId="0" fontId="18" fillId="0" borderId="4" xfId="0" applyFont="1" applyBorder="1"/>
    <xf numFmtId="0" fontId="8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 wrapText="1" readingOrder="1"/>
    </xf>
    <xf numFmtId="0" fontId="20" fillId="2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left" wrapText="1"/>
    </xf>
    <xf numFmtId="0" fontId="22" fillId="2" borderId="4" xfId="0" applyFont="1" applyFill="1" applyBorder="1" applyAlignment="1">
      <alignment vertical="center"/>
    </xf>
    <xf numFmtId="0" fontId="6" fillId="2" borderId="4" xfId="0" applyFont="1" applyFill="1" applyBorder="1"/>
    <xf numFmtId="49" fontId="6" fillId="2" borderId="4" xfId="0" applyNumberFormat="1" applyFont="1" applyFill="1" applyBorder="1"/>
    <xf numFmtId="0" fontId="6" fillId="2" borderId="4" xfId="0" applyFont="1" applyFill="1" applyBorder="1" applyAlignment="1">
      <alignment vertical="center" wrapText="1"/>
    </xf>
    <xf numFmtId="0" fontId="9" fillId="4" borderId="4" xfId="0" applyFont="1" applyFill="1" applyBorder="1"/>
    <xf numFmtId="0" fontId="23" fillId="0" borderId="0" xfId="0" applyFont="1" applyAlignment="1">
      <alignment vertical="center"/>
    </xf>
    <xf numFmtId="0" fontId="6" fillId="5" borderId="4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10" fillId="2" borderId="1" xfId="0" applyFont="1" applyFill="1" applyBorder="1" applyAlignment="1">
      <alignment horizontal="right"/>
    </xf>
    <xf numFmtId="0" fontId="12" fillId="2" borderId="1" xfId="0" applyFont="1" applyFill="1" applyBorder="1" applyAlignment="1">
      <alignment horizontal="left" vertical="top" wrapText="1"/>
    </xf>
    <xf numFmtId="0" fontId="6" fillId="0" borderId="1" xfId="0" applyFont="1" applyBorder="1"/>
    <xf numFmtId="0" fontId="6" fillId="0" borderId="0" xfId="0" applyFont="1" applyAlignment="1">
      <alignment vertical="center"/>
    </xf>
    <xf numFmtId="0" fontId="0" fillId="0" borderId="0" xfId="0"/>
    <xf numFmtId="0" fontId="8" fillId="2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8" fillId="2" borderId="1" xfId="0" applyFont="1" applyFill="1" applyBorder="1"/>
    <xf numFmtId="0" fontId="21" fillId="2" borderId="1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COUNTIF-style" pivot="0" count="4" xr9:uid="{00000000-0011-0000-FFFF-FFFF00000000}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F12" totalsRowCount="1">
  <tableColumns count="5">
    <tableColumn id="1" xr3:uid="{00000000-0010-0000-0000-000001000000}" name="SALES ZONE"/>
    <tableColumn id="2" xr3:uid="{00000000-0010-0000-0000-000002000000}" name="SALES MAN"/>
    <tableColumn id="3" xr3:uid="{00000000-0010-0000-0000-000003000000}" name="MODEL NO"/>
    <tableColumn id="4" xr3:uid="{00000000-0010-0000-0000-000004000000}" name="COLORS"/>
    <tableColumn id="5" xr3:uid="{00000000-0010-0000-0000-000005000000}" name="TOTAL SALES"/>
  </tableColumns>
  <tableStyleInfo name="COUNTIF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1000"/>
  <sheetViews>
    <sheetView workbookViewId="0"/>
  </sheetViews>
  <sheetFormatPr defaultColWidth="12.6640625" defaultRowHeight="15" customHeight="1"/>
  <cols>
    <col min="1" max="26" width="8.6640625" customWidth="1"/>
  </cols>
  <sheetData>
    <row r="3" spans="2:2" ht="22.8">
      <c r="B3" s="1" t="s">
        <v>0</v>
      </c>
    </row>
    <row r="4" spans="2:2" ht="18">
      <c r="B4" s="2" t="s">
        <v>2</v>
      </c>
    </row>
    <row r="5" spans="2:2" ht="18">
      <c r="B5" s="3"/>
    </row>
    <row r="6" spans="2:2" ht="18">
      <c r="B6" s="3" t="s">
        <v>3</v>
      </c>
    </row>
    <row r="7" spans="2:2" ht="18">
      <c r="B7" s="3"/>
    </row>
    <row r="8" spans="2:2" ht="18">
      <c r="B8" s="3" t="s">
        <v>4</v>
      </c>
    </row>
    <row r="9" spans="2:2" ht="18">
      <c r="B9" s="3"/>
    </row>
    <row r="10" spans="2:2" ht="18">
      <c r="B10" s="3" t="s">
        <v>5</v>
      </c>
    </row>
    <row r="11" spans="2:2" ht="18">
      <c r="B11" s="3"/>
    </row>
    <row r="12" spans="2:2" ht="18">
      <c r="B12" s="3" t="s">
        <v>6</v>
      </c>
    </row>
    <row r="13" spans="2:2" ht="18">
      <c r="B13" s="3"/>
    </row>
    <row r="14" spans="2:2" ht="18">
      <c r="B14" s="3" t="s">
        <v>7</v>
      </c>
    </row>
    <row r="15" spans="2:2" ht="18">
      <c r="B15" s="3"/>
    </row>
    <row r="16" spans="2:2" ht="18">
      <c r="B16" s="2" t="s">
        <v>9</v>
      </c>
    </row>
    <row r="17" spans="2:2" ht="18">
      <c r="B17" s="3"/>
    </row>
    <row r="18" spans="2:2" ht="18">
      <c r="B18" s="3" t="s">
        <v>10</v>
      </c>
    </row>
    <row r="19" spans="2:2" ht="18">
      <c r="B19" s="3"/>
    </row>
    <row r="20" spans="2:2" ht="18">
      <c r="B20" s="2" t="s">
        <v>11</v>
      </c>
    </row>
    <row r="21" spans="2:2" ht="15.75" customHeight="1">
      <c r="B21" s="3"/>
    </row>
    <row r="22" spans="2:2" ht="15.75" customHeight="1">
      <c r="B22" s="3" t="s">
        <v>12</v>
      </c>
    </row>
    <row r="23" spans="2:2" ht="15.75" customHeight="1">
      <c r="B23" s="3"/>
    </row>
    <row r="24" spans="2:2" ht="15.75" customHeight="1">
      <c r="B24" s="3" t="s">
        <v>13</v>
      </c>
    </row>
    <row r="25" spans="2:2" ht="15.75" customHeight="1">
      <c r="B25" s="3"/>
    </row>
    <row r="26" spans="2:2" ht="15.75" customHeight="1">
      <c r="B26" s="3" t="s">
        <v>14</v>
      </c>
    </row>
    <row r="27" spans="2:2" ht="15.75" customHeight="1">
      <c r="B27" s="3"/>
    </row>
    <row r="28" spans="2:2" ht="15.75" customHeight="1">
      <c r="B28" s="2" t="s">
        <v>15</v>
      </c>
    </row>
    <row r="29" spans="2:2" ht="15.75" customHeight="1">
      <c r="B29" s="3"/>
    </row>
    <row r="30" spans="2:2" ht="15.75" customHeight="1">
      <c r="B30" s="3" t="s">
        <v>16</v>
      </c>
    </row>
    <row r="31" spans="2:2" ht="15.75" customHeight="1">
      <c r="B31" s="3"/>
    </row>
    <row r="32" spans="2:2" ht="15.75" customHeight="1">
      <c r="B32" s="3" t="s">
        <v>17</v>
      </c>
    </row>
    <row r="33" spans="2:2" ht="15.75" customHeight="1">
      <c r="B33" s="3"/>
    </row>
    <row r="34" spans="2:2" ht="15.75" customHeight="1">
      <c r="B34" s="3" t="s">
        <v>18</v>
      </c>
    </row>
    <row r="35" spans="2:2" ht="15.75" customHeight="1">
      <c r="B35" s="3"/>
    </row>
    <row r="36" spans="2:2" ht="15.75" customHeight="1">
      <c r="B36" s="3" t="s">
        <v>19</v>
      </c>
    </row>
    <row r="37" spans="2:2" ht="15.75" customHeight="1">
      <c r="B37" s="3"/>
    </row>
    <row r="38" spans="2:2" ht="15.75" customHeight="1">
      <c r="B38" s="3" t="s">
        <v>20</v>
      </c>
    </row>
    <row r="39" spans="2:2" ht="15.75" customHeight="1">
      <c r="B39" s="3"/>
    </row>
    <row r="40" spans="2:2" ht="15.75" customHeight="1">
      <c r="B40" s="3" t="s">
        <v>21</v>
      </c>
    </row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J4" sqref="J4"/>
    </sheetView>
  </sheetViews>
  <sheetFormatPr defaultColWidth="12.6640625" defaultRowHeight="15" customHeight="1"/>
  <cols>
    <col min="1" max="8" width="9.109375" customWidth="1"/>
    <col min="9" max="9" width="10.109375" customWidth="1"/>
    <col min="10" max="26" width="9.109375" customWidth="1"/>
  </cols>
  <sheetData>
    <row r="1" spans="1:26" ht="21">
      <c r="A1" s="56" t="s">
        <v>1</v>
      </c>
      <c r="B1" s="57"/>
      <c r="C1" s="57"/>
      <c r="D1" s="57"/>
      <c r="E1" s="57"/>
      <c r="F1" s="57"/>
      <c r="G1" s="57"/>
      <c r="H1" s="57"/>
      <c r="I1" s="57"/>
      <c r="J1" s="5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4"/>
      <c r="B3" s="5" t="s">
        <v>23</v>
      </c>
      <c r="C3" s="6" t="s">
        <v>24</v>
      </c>
      <c r="D3" s="8" t="s">
        <v>25</v>
      </c>
      <c r="E3" s="5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11">
        <v>1</v>
      </c>
      <c r="C4" s="11" t="s">
        <v>32</v>
      </c>
      <c r="D4" s="13" t="s">
        <v>33</v>
      </c>
      <c r="E4" s="11">
        <v>56</v>
      </c>
      <c r="F4" s="11">
        <v>87</v>
      </c>
      <c r="G4" s="11">
        <v>35</v>
      </c>
      <c r="H4" s="14">
        <f>SUM(E4:G4)</f>
        <v>178</v>
      </c>
      <c r="I4" s="14">
        <f>AVERAGE(E4:G4)</f>
        <v>59.333333333333336</v>
      </c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11">
        <v>2</v>
      </c>
      <c r="C5" s="11" t="s">
        <v>42</v>
      </c>
      <c r="D5" s="13" t="s">
        <v>44</v>
      </c>
      <c r="E5" s="11">
        <v>98</v>
      </c>
      <c r="F5" s="11">
        <v>98</v>
      </c>
      <c r="G5" s="11">
        <v>68</v>
      </c>
      <c r="H5" s="14">
        <f t="shared" ref="H5:H13" si="0">SUM(E5:G5)</f>
        <v>264</v>
      </c>
      <c r="I5" s="14">
        <f t="shared" ref="I5:I13" si="1">AVERAGE(E5:G5)</f>
        <v>88</v>
      </c>
      <c r="J5" s="1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11">
        <v>3</v>
      </c>
      <c r="C6" s="11" t="s">
        <v>45</v>
      </c>
      <c r="D6" s="13" t="s">
        <v>46</v>
      </c>
      <c r="E6" s="11">
        <v>68</v>
      </c>
      <c r="F6" s="11">
        <v>67</v>
      </c>
      <c r="G6" s="11">
        <v>97</v>
      </c>
      <c r="H6" s="14">
        <f t="shared" si="0"/>
        <v>232</v>
      </c>
      <c r="I6" s="14">
        <f t="shared" si="1"/>
        <v>77.333333333333329</v>
      </c>
      <c r="J6" s="1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11">
        <v>4</v>
      </c>
      <c r="C7" s="11" t="s">
        <v>49</v>
      </c>
      <c r="D7" s="13" t="s">
        <v>50</v>
      </c>
      <c r="E7" s="11">
        <v>57</v>
      </c>
      <c r="F7" s="11">
        <v>87</v>
      </c>
      <c r="G7" s="11">
        <v>58</v>
      </c>
      <c r="H7" s="14">
        <f t="shared" si="0"/>
        <v>202</v>
      </c>
      <c r="I7" s="14">
        <f t="shared" si="1"/>
        <v>67.333333333333329</v>
      </c>
      <c r="J7" s="1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11">
        <v>5</v>
      </c>
      <c r="C8" s="11" t="s">
        <v>53</v>
      </c>
      <c r="D8" s="13" t="s">
        <v>54</v>
      </c>
      <c r="E8" s="11">
        <v>54</v>
      </c>
      <c r="F8" s="11">
        <v>47</v>
      </c>
      <c r="G8" s="11">
        <v>87</v>
      </c>
      <c r="H8" s="14">
        <f t="shared" si="0"/>
        <v>188</v>
      </c>
      <c r="I8" s="14">
        <f t="shared" si="1"/>
        <v>62.666666666666664</v>
      </c>
      <c r="J8" s="1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11">
        <v>6</v>
      </c>
      <c r="C9" s="11" t="s">
        <v>55</v>
      </c>
      <c r="D9" s="13" t="s">
        <v>56</v>
      </c>
      <c r="E9" s="11">
        <v>24</v>
      </c>
      <c r="F9" s="11">
        <v>52</v>
      </c>
      <c r="G9" s="11">
        <v>45</v>
      </c>
      <c r="H9" s="14">
        <f t="shared" si="0"/>
        <v>121</v>
      </c>
      <c r="I9" s="14">
        <f t="shared" si="1"/>
        <v>40.333333333333336</v>
      </c>
      <c r="J9" s="1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11">
        <v>7</v>
      </c>
      <c r="C10" s="11" t="s">
        <v>57</v>
      </c>
      <c r="D10" s="13" t="s">
        <v>58</v>
      </c>
      <c r="E10" s="11">
        <v>65</v>
      </c>
      <c r="F10" s="11">
        <v>25</v>
      </c>
      <c r="G10" s="11">
        <v>61</v>
      </c>
      <c r="H10" s="14">
        <f t="shared" si="0"/>
        <v>151</v>
      </c>
      <c r="I10" s="14">
        <f t="shared" si="1"/>
        <v>50.333333333333336</v>
      </c>
      <c r="J10" s="1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11">
        <v>8</v>
      </c>
      <c r="C11" s="11" t="s">
        <v>59</v>
      </c>
      <c r="D11" s="13" t="s">
        <v>60</v>
      </c>
      <c r="E11" s="11">
        <v>54</v>
      </c>
      <c r="F11" s="11">
        <v>27</v>
      </c>
      <c r="G11" s="11">
        <v>91</v>
      </c>
      <c r="H11" s="14">
        <f t="shared" si="0"/>
        <v>172</v>
      </c>
      <c r="I11" s="14">
        <f t="shared" si="1"/>
        <v>57.333333333333336</v>
      </c>
      <c r="J11" s="1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11">
        <v>9</v>
      </c>
      <c r="C12" s="11" t="s">
        <v>61</v>
      </c>
      <c r="D12" s="13" t="s">
        <v>62</v>
      </c>
      <c r="E12" s="11">
        <v>32</v>
      </c>
      <c r="F12" s="11">
        <v>87</v>
      </c>
      <c r="G12" s="11">
        <v>93</v>
      </c>
      <c r="H12" s="14">
        <f t="shared" si="0"/>
        <v>212</v>
      </c>
      <c r="I12" s="14">
        <f t="shared" si="1"/>
        <v>70.666666666666671</v>
      </c>
      <c r="J12" s="1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11">
        <v>10</v>
      </c>
      <c r="C13" s="11" t="s">
        <v>63</v>
      </c>
      <c r="D13" s="13" t="s">
        <v>64</v>
      </c>
      <c r="E13" s="11">
        <v>45</v>
      </c>
      <c r="F13" s="11">
        <v>98</v>
      </c>
      <c r="G13" s="11">
        <v>92</v>
      </c>
      <c r="H13" s="14">
        <f t="shared" si="0"/>
        <v>235</v>
      </c>
      <c r="I13" s="14">
        <f t="shared" si="1"/>
        <v>78.333333333333329</v>
      </c>
      <c r="J13" s="1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14"/>
      <c r="I14" s="14"/>
      <c r="J14" s="1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14"/>
      <c r="I15" s="14"/>
      <c r="J15" s="1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59" t="s">
        <v>67</v>
      </c>
      <c r="C16" s="57"/>
      <c r="D16" s="58"/>
      <c r="E16" s="14">
        <f>MAX(E4:E13)</f>
        <v>98</v>
      </c>
      <c r="F16" s="14">
        <f>MAX(F4:F13)</f>
        <v>98</v>
      </c>
      <c r="G16" s="14">
        <f t="shared" ref="E16:G16" si="2">MAX(G4:G13)</f>
        <v>97</v>
      </c>
      <c r="H16" s="14"/>
      <c r="I16" s="1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59" t="s">
        <v>82</v>
      </c>
      <c r="C17" s="57"/>
      <c r="D17" s="58"/>
      <c r="E17" s="14">
        <f t="shared" ref="E17:G17" si="3">MIN(E4:E13)</f>
        <v>24</v>
      </c>
      <c r="F17" s="14">
        <f t="shared" si="3"/>
        <v>25</v>
      </c>
      <c r="G17" s="14">
        <f t="shared" si="3"/>
        <v>35</v>
      </c>
      <c r="H17" s="14"/>
      <c r="I17" s="1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2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2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B3:H17" xr:uid="{00000000-0009-0000-0000-000001000000}"/>
  <mergeCells count="3">
    <mergeCell ref="A1:J1"/>
    <mergeCell ref="B16:D16"/>
    <mergeCell ref="B17:D17"/>
  </mergeCells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F15" sqref="F15"/>
    </sheetView>
  </sheetViews>
  <sheetFormatPr defaultColWidth="12.6640625" defaultRowHeight="15" customHeight="1"/>
  <cols>
    <col min="1" max="1" width="9.109375" customWidth="1"/>
    <col min="2" max="2" width="12.109375" customWidth="1"/>
    <col min="3" max="7" width="9.109375" customWidth="1"/>
    <col min="8" max="8" width="13.77734375" customWidth="1"/>
    <col min="9" max="10" width="9.109375" customWidth="1"/>
    <col min="11" max="11" width="13.33203125" customWidth="1"/>
    <col min="12" max="12" width="11.21875" customWidth="1"/>
    <col min="13" max="14" width="10.33203125" customWidth="1"/>
    <col min="15" max="16" width="12.21875" customWidth="1"/>
    <col min="17" max="26" width="9.109375" customWidth="1"/>
  </cols>
  <sheetData>
    <row r="1" spans="1:26" ht="21">
      <c r="A1" s="56" t="s">
        <v>22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8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>
      <c r="A3" s="4"/>
      <c r="B3" s="16" t="s">
        <v>40</v>
      </c>
      <c r="C3" s="16" t="s">
        <v>47</v>
      </c>
      <c r="D3" s="16" t="s">
        <v>48</v>
      </c>
      <c r="E3" s="16" t="s">
        <v>51</v>
      </c>
      <c r="F3" s="16" t="s">
        <v>52</v>
      </c>
      <c r="G3" s="18"/>
      <c r="H3" s="20"/>
      <c r="I3" s="1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4"/>
      <c r="B4" s="21" t="s">
        <v>43</v>
      </c>
      <c r="C4" s="21">
        <v>32000</v>
      </c>
      <c r="D4" s="21">
        <v>38564</v>
      </c>
      <c r="E4" s="21">
        <v>35380</v>
      </c>
      <c r="F4" s="21">
        <v>41635</v>
      </c>
      <c r="G4" s="4"/>
      <c r="H4" s="4"/>
      <c r="I4" s="11"/>
      <c r="J4" s="4"/>
      <c r="K4" s="6" t="s">
        <v>81</v>
      </c>
      <c r="L4" s="14">
        <f>COUNT(C4:C12)</f>
        <v>9</v>
      </c>
      <c r="M4" s="4"/>
      <c r="N4" s="6"/>
      <c r="O4" s="14"/>
      <c r="P4" s="11"/>
      <c r="Q4" s="11"/>
      <c r="R4" s="4"/>
      <c r="S4" s="4"/>
      <c r="T4" s="11"/>
      <c r="U4" s="4"/>
      <c r="V4" s="4"/>
      <c r="W4" s="4"/>
      <c r="X4" s="4"/>
      <c r="Y4" s="4"/>
      <c r="Z4" s="4"/>
    </row>
    <row r="5" spans="1:26" ht="15.6">
      <c r="A5" s="4"/>
      <c r="B5" s="21" t="s">
        <v>66</v>
      </c>
      <c r="C5" s="21">
        <v>47500</v>
      </c>
      <c r="D5" s="21">
        <v>65822</v>
      </c>
      <c r="E5" s="21">
        <v>49066</v>
      </c>
      <c r="F5" s="21">
        <v>43695</v>
      </c>
      <c r="G5" s="4"/>
      <c r="H5" s="4"/>
      <c r="I5" s="11"/>
      <c r="J5" s="4"/>
      <c r="K5" s="11"/>
      <c r="L5" s="11">
        <f>COUNTA(C4:C12)</f>
        <v>9</v>
      </c>
      <c r="M5" s="4"/>
      <c r="N5" s="4"/>
      <c r="O5" s="4"/>
      <c r="P5" s="11"/>
      <c r="Q5" s="11"/>
      <c r="R5" s="4"/>
      <c r="S5" s="4"/>
      <c r="T5" s="11"/>
      <c r="U5" s="4"/>
      <c r="V5" s="4"/>
      <c r="W5" s="4"/>
      <c r="X5" s="4"/>
      <c r="Y5" s="4"/>
      <c r="Z5" s="4"/>
    </row>
    <row r="6" spans="1:26" ht="15.6">
      <c r="A6" s="4"/>
      <c r="B6" s="21" t="s">
        <v>83</v>
      </c>
      <c r="C6" s="21">
        <v>56000</v>
      </c>
      <c r="D6" s="21">
        <v>45112</v>
      </c>
      <c r="E6" s="21">
        <v>39866</v>
      </c>
      <c r="F6" s="21">
        <v>42561</v>
      </c>
      <c r="G6" s="4"/>
      <c r="H6" s="4"/>
      <c r="I6" s="11"/>
      <c r="J6" s="4"/>
      <c r="K6" s="11"/>
      <c r="L6" s="11"/>
      <c r="M6" s="4"/>
      <c r="N6" s="4"/>
      <c r="O6" s="4"/>
      <c r="P6" s="11"/>
      <c r="Q6" s="11"/>
      <c r="R6" s="4"/>
      <c r="S6" s="4"/>
      <c r="T6" s="11"/>
      <c r="U6" s="4"/>
      <c r="V6" s="4"/>
      <c r="W6" s="4"/>
      <c r="X6" s="4"/>
      <c r="Y6" s="4"/>
      <c r="Z6" s="4"/>
    </row>
    <row r="7" spans="1:26" ht="15.6">
      <c r="A7" s="4"/>
      <c r="B7" s="21" t="s">
        <v>85</v>
      </c>
      <c r="C7" s="21">
        <v>12000</v>
      </c>
      <c r="D7" s="21">
        <v>39348</v>
      </c>
      <c r="E7" s="21">
        <v>47254</v>
      </c>
      <c r="F7" s="21">
        <v>39330</v>
      </c>
      <c r="G7" s="4"/>
      <c r="H7" s="4"/>
      <c r="I7" s="4"/>
      <c r="J7" s="4"/>
      <c r="K7" s="6"/>
      <c r="L7" s="14"/>
      <c r="M7" s="4"/>
      <c r="N7" s="6"/>
      <c r="O7" s="14"/>
      <c r="P7" s="4"/>
      <c r="Q7" s="11"/>
      <c r="R7" s="4"/>
      <c r="S7" s="4"/>
      <c r="T7" s="11"/>
      <c r="U7" s="4"/>
      <c r="V7" s="4"/>
      <c r="W7" s="4"/>
      <c r="X7" s="4"/>
      <c r="Y7" s="4"/>
      <c r="Z7" s="4"/>
    </row>
    <row r="8" spans="1:26" ht="15.6">
      <c r="A8" s="4"/>
      <c r="B8" s="21" t="s">
        <v>86</v>
      </c>
      <c r="C8" s="21">
        <v>37650</v>
      </c>
      <c r="D8" s="21">
        <v>41317</v>
      </c>
      <c r="E8" s="21">
        <v>40534</v>
      </c>
      <c r="F8" s="21">
        <v>42400</v>
      </c>
      <c r="G8" s="4"/>
      <c r="H8" s="4"/>
      <c r="I8" s="4"/>
      <c r="J8" s="4"/>
      <c r="K8" s="4"/>
      <c r="L8" s="4"/>
      <c r="M8" s="4"/>
      <c r="N8" s="4"/>
      <c r="O8" s="4"/>
      <c r="P8" s="4"/>
      <c r="Q8" s="11"/>
      <c r="R8" s="4"/>
      <c r="S8" s="4"/>
      <c r="T8" s="11"/>
      <c r="U8" s="4"/>
      <c r="V8" s="4"/>
      <c r="W8" s="4"/>
      <c r="X8" s="4"/>
      <c r="Y8" s="4"/>
      <c r="Z8" s="4"/>
    </row>
    <row r="9" spans="1:26" ht="15.6">
      <c r="A9" s="4"/>
      <c r="B9" s="21" t="s">
        <v>74</v>
      </c>
      <c r="C9" s="21">
        <v>29995</v>
      </c>
      <c r="D9" s="21">
        <v>42620</v>
      </c>
      <c r="E9" s="21">
        <v>33081</v>
      </c>
      <c r="F9" s="21">
        <v>38432</v>
      </c>
      <c r="G9" s="4"/>
      <c r="H9" s="4"/>
      <c r="I9" s="4"/>
      <c r="J9" s="4"/>
      <c r="K9" s="23"/>
      <c r="L9" s="4"/>
      <c r="M9" s="4"/>
      <c r="N9" s="6"/>
      <c r="O9" s="14"/>
      <c r="P9" s="4"/>
      <c r="Q9" s="11"/>
      <c r="R9" s="4"/>
      <c r="S9" s="4"/>
      <c r="T9" s="11"/>
      <c r="U9" s="4"/>
      <c r="V9" s="4"/>
      <c r="W9" s="4"/>
      <c r="X9" s="4"/>
      <c r="Y9" s="4"/>
      <c r="Z9" s="4"/>
    </row>
    <row r="10" spans="1:26" ht="15.6">
      <c r="A10" s="4"/>
      <c r="B10" s="21" t="s">
        <v>76</v>
      </c>
      <c r="C10" s="21">
        <v>75412</v>
      </c>
      <c r="D10" s="21">
        <v>27770</v>
      </c>
      <c r="E10" s="21">
        <v>42903</v>
      </c>
      <c r="F10" s="21">
        <v>28248</v>
      </c>
      <c r="G10" s="4"/>
      <c r="H10" s="4"/>
      <c r="I10" s="11"/>
      <c r="J10" s="6"/>
      <c r="K10" s="14"/>
      <c r="L10" s="11"/>
      <c r="M10" s="4"/>
      <c r="N10" s="4"/>
      <c r="O10" s="4"/>
      <c r="P10" s="11"/>
      <c r="Q10" s="11"/>
      <c r="R10" s="4"/>
      <c r="S10" s="4"/>
      <c r="T10" s="11"/>
      <c r="U10" s="4"/>
      <c r="V10" s="4"/>
      <c r="W10" s="4"/>
      <c r="X10" s="4"/>
      <c r="Y10" s="4"/>
      <c r="Z10" s="4"/>
    </row>
    <row r="11" spans="1:26" ht="15.6">
      <c r="A11" s="4"/>
      <c r="B11" s="21" t="s">
        <v>78</v>
      </c>
      <c r="C11" s="21">
        <v>51200</v>
      </c>
      <c r="D11" s="21">
        <v>45647</v>
      </c>
      <c r="E11" s="21">
        <v>41177</v>
      </c>
      <c r="F11" s="21">
        <v>35800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1"/>
      <c r="U11" s="4"/>
      <c r="V11" s="4"/>
      <c r="W11" s="4"/>
      <c r="X11" s="4"/>
      <c r="Y11" s="4"/>
      <c r="Z11" s="4"/>
    </row>
    <row r="12" spans="1:26" ht="15.6">
      <c r="A12" s="4"/>
      <c r="B12" s="21" t="s">
        <v>80</v>
      </c>
      <c r="C12" s="21">
        <v>48990</v>
      </c>
      <c r="D12" s="21">
        <v>28317</v>
      </c>
      <c r="E12" s="21">
        <v>45265</v>
      </c>
      <c r="F12" s="21">
        <v>27515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1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1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60" t="s">
        <v>100</v>
      </c>
      <c r="G14" s="57"/>
      <c r="H14" s="57"/>
      <c r="I14" s="57"/>
      <c r="J14" s="57"/>
      <c r="K14" s="57"/>
      <c r="L14" s="57"/>
      <c r="M14" s="57"/>
      <c r="N14" s="57"/>
      <c r="O14" s="58"/>
      <c r="P14" s="11"/>
      <c r="Q14" s="11"/>
      <c r="R14" s="11"/>
      <c r="S14" s="11"/>
      <c r="T14" s="11"/>
      <c r="U14" s="4"/>
      <c r="V14" s="4"/>
      <c r="W14" s="4"/>
      <c r="X14" s="4"/>
      <c r="Y14" s="4"/>
      <c r="Z14" s="4"/>
    </row>
    <row r="15" spans="1:26" ht="18.75" customHeight="1">
      <c r="A15" s="4"/>
      <c r="B15" s="4"/>
      <c r="C15" s="4"/>
      <c r="D15" s="4"/>
      <c r="E15" s="4"/>
      <c r="F15" s="11">
        <f>COUNTA(B4:B12)</f>
        <v>9</v>
      </c>
      <c r="G15" s="11"/>
      <c r="H15" s="11"/>
      <c r="I15" s="11"/>
      <c r="J15" s="11"/>
      <c r="K15" s="11"/>
      <c r="L15" s="11"/>
      <c r="M15" s="11"/>
      <c r="N15" s="6"/>
      <c r="O15" s="14"/>
      <c r="P15" s="4"/>
      <c r="Q15" s="4"/>
      <c r="R15" s="4"/>
      <c r="S15" s="28"/>
      <c r="T15" s="28"/>
      <c r="U15" s="4"/>
      <c r="V15" s="4"/>
      <c r="W15" s="4"/>
      <c r="X15" s="4"/>
      <c r="Y15" s="4"/>
      <c r="Z15" s="4"/>
    </row>
    <row r="16" spans="1:26" ht="18">
      <c r="A16" s="4"/>
      <c r="B16" s="4"/>
      <c r="C16" s="4"/>
      <c r="D16" s="4"/>
      <c r="E16" s="4"/>
      <c r="F16" s="60"/>
      <c r="G16" s="57"/>
      <c r="H16" s="57"/>
      <c r="I16" s="57"/>
      <c r="J16" s="57"/>
      <c r="K16" s="57"/>
      <c r="L16" s="57"/>
      <c r="M16" s="58"/>
      <c r="N16" s="11"/>
      <c r="O16" s="11"/>
      <c r="P16" s="4"/>
      <c r="Q16" s="4"/>
      <c r="R16" s="4"/>
      <c r="S16" s="11"/>
      <c r="T16" s="11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1"/>
      <c r="T17" s="11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T1"/>
    <mergeCell ref="F14:O14"/>
    <mergeCell ref="F16:M16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H12" sqref="H12"/>
    </sheetView>
  </sheetViews>
  <sheetFormatPr defaultColWidth="12.6640625" defaultRowHeight="15" customHeight="1"/>
  <cols>
    <col min="1" max="1" width="21.33203125" customWidth="1"/>
    <col min="2" max="2" width="18.21875" customWidth="1"/>
    <col min="3" max="6" width="9.109375" customWidth="1"/>
    <col min="7" max="7" width="9.6640625" customWidth="1"/>
    <col min="8" max="8" width="20.109375" customWidth="1"/>
    <col min="9" max="9" width="22.88671875" customWidth="1"/>
    <col min="10" max="26" width="9.109375" customWidth="1"/>
  </cols>
  <sheetData>
    <row r="1" spans="1:26" ht="23.4">
      <c r="A1" s="61" t="s">
        <v>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8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4">
      <c r="A3" s="12" t="s">
        <v>31</v>
      </c>
      <c r="B3" s="12" t="s">
        <v>34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29</v>
      </c>
      <c r="H3" s="12" t="s">
        <v>39</v>
      </c>
      <c r="I3" s="12"/>
      <c r="J3" s="9"/>
      <c r="K3" s="9"/>
      <c r="L3" s="9"/>
      <c r="M3" s="9"/>
      <c r="N3" s="9"/>
      <c r="O3" s="9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6">
      <c r="A4" s="15" t="s">
        <v>41</v>
      </c>
      <c r="B4" s="15" t="s">
        <v>43</v>
      </c>
      <c r="C4" s="17">
        <v>32000</v>
      </c>
      <c r="D4" s="17">
        <v>38564</v>
      </c>
      <c r="E4" s="17">
        <v>35380</v>
      </c>
      <c r="F4" s="17">
        <v>60000</v>
      </c>
      <c r="G4" s="19">
        <f t="shared" ref="G4:G12" si="0">SUM(C4:F4)</f>
        <v>165944</v>
      </c>
      <c r="H4" s="17" t="str">
        <f>IF(G4&gt;150000,"Eligible","Not Eligible")</f>
        <v>Eligible</v>
      </c>
      <c r="I4" s="17"/>
      <c r="J4" s="9"/>
      <c r="K4" s="9"/>
      <c r="L4" s="9"/>
      <c r="M4" s="9"/>
      <c r="N4" s="9"/>
      <c r="O4" s="9"/>
      <c r="P4" s="9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6">
      <c r="A5" s="15" t="s">
        <v>65</v>
      </c>
      <c r="B5" s="15" t="s">
        <v>66</v>
      </c>
      <c r="C5" s="17">
        <v>47500</v>
      </c>
      <c r="D5" s="17">
        <v>65822</v>
      </c>
      <c r="E5" s="17">
        <v>49066</v>
      </c>
      <c r="F5" s="17">
        <v>43695</v>
      </c>
      <c r="G5" s="19">
        <f t="shared" si="0"/>
        <v>206083</v>
      </c>
      <c r="H5" s="17" t="str">
        <f t="shared" ref="H5:H12" si="1">IF(G5&gt;150000,"Eligible","Not Eligible")</f>
        <v>Eligible</v>
      </c>
      <c r="I5" s="17"/>
      <c r="J5" s="9"/>
      <c r="K5" s="9"/>
      <c r="L5" s="9"/>
      <c r="M5" s="9"/>
      <c r="N5" s="9"/>
      <c r="O5" s="9"/>
      <c r="P5" s="9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6">
      <c r="A6" s="15" t="s">
        <v>68</v>
      </c>
      <c r="B6" s="15" t="s">
        <v>69</v>
      </c>
      <c r="C6" s="17">
        <v>53000</v>
      </c>
      <c r="D6" s="17">
        <v>45112</v>
      </c>
      <c r="E6" s="17">
        <v>39866</v>
      </c>
      <c r="F6" s="17">
        <v>42561</v>
      </c>
      <c r="G6" s="19">
        <f t="shared" si="0"/>
        <v>180539</v>
      </c>
      <c r="H6" s="17" t="str">
        <f t="shared" si="1"/>
        <v>Eligible</v>
      </c>
      <c r="I6" s="17"/>
      <c r="J6" s="9"/>
      <c r="K6" s="9"/>
      <c r="L6" s="9"/>
      <c r="M6" s="9"/>
      <c r="N6" s="9"/>
      <c r="O6" s="9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6">
      <c r="A7" s="15" t="s">
        <v>41</v>
      </c>
      <c r="B7" s="15" t="s">
        <v>70</v>
      </c>
      <c r="C7" s="17">
        <v>28750</v>
      </c>
      <c r="D7" s="17">
        <v>39348</v>
      </c>
      <c r="E7" s="17">
        <v>47254</v>
      </c>
      <c r="F7" s="17">
        <v>39330</v>
      </c>
      <c r="G7" s="19">
        <f t="shared" si="0"/>
        <v>154682</v>
      </c>
      <c r="H7" s="17" t="str">
        <f t="shared" si="1"/>
        <v>Eligible</v>
      </c>
      <c r="I7" s="17"/>
      <c r="J7" s="9"/>
      <c r="K7" s="9"/>
      <c r="L7" s="9"/>
      <c r="M7" s="9"/>
      <c r="N7" s="9"/>
      <c r="O7" s="9"/>
      <c r="P7" s="9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6">
      <c r="A8" s="15" t="s">
        <v>71</v>
      </c>
      <c r="B8" s="15" t="s">
        <v>72</v>
      </c>
      <c r="C8" s="17">
        <v>37650</v>
      </c>
      <c r="D8" s="17">
        <v>41317</v>
      </c>
      <c r="E8" s="17">
        <v>40534</v>
      </c>
      <c r="F8" s="17">
        <v>42400</v>
      </c>
      <c r="G8" s="19">
        <f t="shared" si="0"/>
        <v>161901</v>
      </c>
      <c r="H8" s="17" t="str">
        <f t="shared" si="1"/>
        <v>Eligible</v>
      </c>
      <c r="I8" s="17"/>
      <c r="J8" s="9"/>
      <c r="K8" s="9"/>
      <c r="L8" s="9"/>
      <c r="M8" s="9"/>
      <c r="N8" s="9"/>
      <c r="O8" s="9"/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6">
      <c r="A9" s="15" t="s">
        <v>73</v>
      </c>
      <c r="B9" s="15" t="s">
        <v>74</v>
      </c>
      <c r="C9" s="17">
        <v>29995</v>
      </c>
      <c r="D9" s="17">
        <v>42620</v>
      </c>
      <c r="E9" s="17">
        <v>33081</v>
      </c>
      <c r="F9" s="17">
        <v>38432</v>
      </c>
      <c r="G9" s="19">
        <f t="shared" si="0"/>
        <v>144128</v>
      </c>
      <c r="H9" s="17" t="str">
        <f t="shared" si="1"/>
        <v>Not Eligible</v>
      </c>
      <c r="I9" s="17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6">
      <c r="A10" s="15" t="s">
        <v>75</v>
      </c>
      <c r="B10" s="15" t="s">
        <v>76</v>
      </c>
      <c r="C10" s="17">
        <v>75412</v>
      </c>
      <c r="D10" s="17">
        <v>27770</v>
      </c>
      <c r="E10" s="17">
        <v>42903</v>
      </c>
      <c r="F10" s="17">
        <v>28248</v>
      </c>
      <c r="G10" s="19">
        <f t="shared" si="0"/>
        <v>174333</v>
      </c>
      <c r="H10" s="17" t="str">
        <f t="shared" si="1"/>
        <v>Eligible</v>
      </c>
      <c r="I10" s="17"/>
      <c r="J10" s="9"/>
      <c r="K10" s="9"/>
      <c r="L10" s="9"/>
      <c r="M10" s="9"/>
      <c r="N10" s="9"/>
      <c r="O10" s="9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6">
      <c r="A11" s="15" t="s">
        <v>77</v>
      </c>
      <c r="B11" s="15" t="s">
        <v>78</v>
      </c>
      <c r="C11" s="17">
        <v>51200</v>
      </c>
      <c r="D11" s="17">
        <v>45647</v>
      </c>
      <c r="E11" s="17">
        <v>41177</v>
      </c>
      <c r="F11" s="17">
        <v>35800</v>
      </c>
      <c r="G11" s="19">
        <f t="shared" si="0"/>
        <v>173824</v>
      </c>
      <c r="H11" s="17" t="str">
        <f t="shared" si="1"/>
        <v>Eligible</v>
      </c>
      <c r="I11" s="17"/>
      <c r="J11" s="9"/>
      <c r="K11" s="9"/>
      <c r="L11" s="9"/>
      <c r="M11" s="9"/>
      <c r="N11" s="9"/>
      <c r="O11" s="9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6">
      <c r="A12" s="15" t="s">
        <v>79</v>
      </c>
      <c r="B12" s="15" t="s">
        <v>80</v>
      </c>
      <c r="C12" s="17">
        <v>48990</v>
      </c>
      <c r="D12" s="17">
        <v>28317</v>
      </c>
      <c r="E12" s="17">
        <v>45265</v>
      </c>
      <c r="F12" s="17">
        <v>27515</v>
      </c>
      <c r="G12" s="19">
        <f t="shared" si="0"/>
        <v>150087</v>
      </c>
      <c r="H12" s="17" t="str">
        <f t="shared" si="1"/>
        <v>Eligible</v>
      </c>
      <c r="I12" s="17"/>
      <c r="J12" s="9"/>
      <c r="K12" s="9"/>
      <c r="L12" s="9"/>
      <c r="M12" s="9"/>
      <c r="N12" s="9"/>
      <c r="O12" s="9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P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J4" sqref="J4"/>
    </sheetView>
  </sheetViews>
  <sheetFormatPr defaultColWidth="12.6640625" defaultRowHeight="15" customHeight="1"/>
  <cols>
    <col min="1" max="9" width="9.109375" customWidth="1"/>
    <col min="10" max="10" width="11.5546875" customWidth="1"/>
    <col min="11" max="18" width="9.109375" customWidth="1"/>
    <col min="19" max="26" width="8.6640625" customWidth="1"/>
  </cols>
  <sheetData>
    <row r="1" spans="1:26" ht="23.4">
      <c r="A1" s="10"/>
      <c r="B1" s="10"/>
      <c r="C1" s="22" t="s">
        <v>84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43.2">
      <c r="A3" s="10"/>
      <c r="B3" s="24" t="s">
        <v>87</v>
      </c>
      <c r="C3" s="24" t="s">
        <v>88</v>
      </c>
      <c r="D3" s="24" t="s">
        <v>89</v>
      </c>
      <c r="E3" s="24" t="s">
        <v>90</v>
      </c>
      <c r="F3" s="24" t="s">
        <v>91</v>
      </c>
      <c r="G3" s="24" t="s">
        <v>92</v>
      </c>
      <c r="H3" s="24" t="s">
        <v>93</v>
      </c>
      <c r="I3" s="24" t="s">
        <v>94</v>
      </c>
      <c r="J3" s="25" t="s">
        <v>95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4">
      <c r="A4" s="10"/>
      <c r="B4" s="26" t="s">
        <v>96</v>
      </c>
      <c r="C4" s="26" t="s">
        <v>97</v>
      </c>
      <c r="D4" s="26" t="s">
        <v>98</v>
      </c>
      <c r="E4" s="26" t="s">
        <v>99</v>
      </c>
      <c r="F4" s="26">
        <v>12000</v>
      </c>
      <c r="G4" s="26">
        <v>5</v>
      </c>
      <c r="H4" s="26" t="s">
        <v>101</v>
      </c>
      <c r="I4" s="26" t="s">
        <v>102</v>
      </c>
      <c r="J4" s="27" t="str">
        <f>IF(F4&gt;10000,"High Cost","Normal Cost")</f>
        <v>High Cost</v>
      </c>
      <c r="K4" s="10"/>
      <c r="L4" s="62" t="s">
        <v>103</v>
      </c>
      <c r="M4" s="63"/>
      <c r="N4" s="63"/>
      <c r="O4" s="63"/>
      <c r="P4" s="63"/>
      <c r="Q4" s="63"/>
      <c r="R4" s="63"/>
      <c r="S4" s="10"/>
      <c r="T4" s="10"/>
      <c r="U4" s="10"/>
      <c r="V4" s="10"/>
      <c r="W4" s="10"/>
      <c r="X4" s="10"/>
      <c r="Y4" s="10"/>
      <c r="Z4" s="10"/>
    </row>
    <row r="5" spans="1:26" ht="14.4">
      <c r="A5" s="10"/>
      <c r="B5" s="26" t="s">
        <v>104</v>
      </c>
      <c r="C5" s="26" t="s">
        <v>105</v>
      </c>
      <c r="D5" s="26" t="s">
        <v>106</v>
      </c>
      <c r="E5" s="26" t="s">
        <v>107</v>
      </c>
      <c r="F5" s="26">
        <v>9000</v>
      </c>
      <c r="G5" s="26">
        <v>6</v>
      </c>
      <c r="H5" s="26" t="s">
        <v>108</v>
      </c>
      <c r="I5" s="26" t="s">
        <v>109</v>
      </c>
      <c r="J5" s="27" t="str">
        <f t="shared" ref="J5:J18" si="0">IF(F5&gt;10000,"High Cost","Normal Cost")</f>
        <v>Normal Cost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4">
      <c r="A6" s="10"/>
      <c r="B6" s="26" t="s">
        <v>110</v>
      </c>
      <c r="C6" s="26" t="s">
        <v>111</v>
      </c>
      <c r="D6" s="26" t="s">
        <v>112</v>
      </c>
      <c r="E6" s="26" t="s">
        <v>99</v>
      </c>
      <c r="F6" s="26">
        <v>7000</v>
      </c>
      <c r="G6" s="26">
        <v>3</v>
      </c>
      <c r="H6" s="26" t="s">
        <v>101</v>
      </c>
      <c r="I6" s="26" t="s">
        <v>102</v>
      </c>
      <c r="J6" s="27" t="str">
        <f t="shared" si="0"/>
        <v>Normal Cost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8.8">
      <c r="A7" s="10"/>
      <c r="B7" s="26" t="s">
        <v>113</v>
      </c>
      <c r="C7" s="26" t="s">
        <v>98</v>
      </c>
      <c r="D7" s="26" t="s">
        <v>114</v>
      </c>
      <c r="E7" s="26" t="s">
        <v>115</v>
      </c>
      <c r="F7" s="26">
        <v>20000</v>
      </c>
      <c r="G7" s="26">
        <v>2</v>
      </c>
      <c r="H7" s="26" t="s">
        <v>101</v>
      </c>
      <c r="I7" s="26" t="s">
        <v>102</v>
      </c>
      <c r="J7" s="27" t="str">
        <f t="shared" si="0"/>
        <v>High Cost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4">
      <c r="A8" s="10"/>
      <c r="B8" s="26" t="s">
        <v>116</v>
      </c>
      <c r="C8" s="26" t="s">
        <v>112</v>
      </c>
      <c r="D8" s="26" t="s">
        <v>97</v>
      </c>
      <c r="E8" s="26" t="s">
        <v>99</v>
      </c>
      <c r="F8" s="26">
        <v>8000</v>
      </c>
      <c r="G8" s="26">
        <v>5</v>
      </c>
      <c r="H8" s="26" t="s">
        <v>117</v>
      </c>
      <c r="I8" s="26" t="s">
        <v>109</v>
      </c>
      <c r="J8" s="27" t="str">
        <f t="shared" si="0"/>
        <v>Normal Cost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4">
      <c r="A9" s="10"/>
      <c r="B9" s="26" t="s">
        <v>118</v>
      </c>
      <c r="C9" s="26" t="s">
        <v>106</v>
      </c>
      <c r="D9" s="26" t="s">
        <v>105</v>
      </c>
      <c r="E9" s="26" t="s">
        <v>107</v>
      </c>
      <c r="F9" s="26">
        <v>9500</v>
      </c>
      <c r="G9" s="26">
        <v>4</v>
      </c>
      <c r="H9" s="26" t="s">
        <v>101</v>
      </c>
      <c r="I9" s="26" t="s">
        <v>109</v>
      </c>
      <c r="J9" s="27" t="str">
        <f t="shared" si="0"/>
        <v>Normal Cost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8.8">
      <c r="A10" s="10"/>
      <c r="B10" s="26" t="s">
        <v>119</v>
      </c>
      <c r="C10" s="26" t="s">
        <v>114</v>
      </c>
      <c r="D10" s="26" t="s">
        <v>111</v>
      </c>
      <c r="E10" s="26" t="s">
        <v>115</v>
      </c>
      <c r="F10" s="26">
        <v>18000</v>
      </c>
      <c r="G10" s="26">
        <v>1</v>
      </c>
      <c r="H10" s="26" t="s">
        <v>108</v>
      </c>
      <c r="I10" s="26" t="s">
        <v>102</v>
      </c>
      <c r="J10" s="27" t="str">
        <f t="shared" si="0"/>
        <v>High Cost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4">
      <c r="A11" s="10"/>
      <c r="B11" s="26" t="s">
        <v>120</v>
      </c>
      <c r="C11" s="26" t="s">
        <v>97</v>
      </c>
      <c r="D11" s="26" t="s">
        <v>112</v>
      </c>
      <c r="E11" s="26" t="s">
        <v>99</v>
      </c>
      <c r="F11" s="26">
        <v>7500</v>
      </c>
      <c r="G11" s="26">
        <v>3</v>
      </c>
      <c r="H11" s="26" t="s">
        <v>101</v>
      </c>
      <c r="I11" s="26" t="s">
        <v>109</v>
      </c>
      <c r="J11" s="27" t="str">
        <f t="shared" si="0"/>
        <v>Normal Cost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4">
      <c r="A12" s="10"/>
      <c r="B12" s="26" t="s">
        <v>121</v>
      </c>
      <c r="C12" s="26" t="s">
        <v>105</v>
      </c>
      <c r="D12" s="26" t="s">
        <v>98</v>
      </c>
      <c r="E12" s="26" t="s">
        <v>107</v>
      </c>
      <c r="F12" s="26">
        <v>11000</v>
      </c>
      <c r="G12" s="26">
        <v>6</v>
      </c>
      <c r="H12" s="26" t="s">
        <v>101</v>
      </c>
      <c r="I12" s="26" t="s">
        <v>102</v>
      </c>
      <c r="J12" s="27" t="str">
        <f t="shared" si="0"/>
        <v>High Cost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4">
      <c r="A13" s="10"/>
      <c r="B13" s="26" t="s">
        <v>122</v>
      </c>
      <c r="C13" s="26" t="s">
        <v>98</v>
      </c>
      <c r="D13" s="26" t="s">
        <v>97</v>
      </c>
      <c r="E13" s="26" t="s">
        <v>99</v>
      </c>
      <c r="F13" s="26">
        <v>13000</v>
      </c>
      <c r="G13" s="26">
        <v>7</v>
      </c>
      <c r="H13" s="26" t="s">
        <v>117</v>
      </c>
      <c r="I13" s="26" t="s">
        <v>109</v>
      </c>
      <c r="J13" s="27" t="str">
        <f t="shared" si="0"/>
        <v>High Cost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4">
      <c r="A14" s="10"/>
      <c r="B14" s="26" t="s">
        <v>123</v>
      </c>
      <c r="C14" s="26" t="s">
        <v>112</v>
      </c>
      <c r="D14" s="26" t="s">
        <v>111</v>
      </c>
      <c r="E14" s="26" t="s">
        <v>99</v>
      </c>
      <c r="F14" s="26">
        <v>8500</v>
      </c>
      <c r="G14" s="26">
        <v>2</v>
      </c>
      <c r="H14" s="26" t="s">
        <v>101</v>
      </c>
      <c r="I14" s="26" t="s">
        <v>102</v>
      </c>
      <c r="J14" s="27" t="str">
        <f t="shared" si="0"/>
        <v>Normal Cost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8.8">
      <c r="A15" s="10"/>
      <c r="B15" s="26" t="s">
        <v>124</v>
      </c>
      <c r="C15" s="26" t="s">
        <v>114</v>
      </c>
      <c r="D15" s="26" t="s">
        <v>105</v>
      </c>
      <c r="E15" s="26" t="s">
        <v>115</v>
      </c>
      <c r="F15" s="26">
        <v>22000</v>
      </c>
      <c r="G15" s="26">
        <v>2</v>
      </c>
      <c r="H15" s="26" t="s">
        <v>101</v>
      </c>
      <c r="I15" s="26" t="s">
        <v>102</v>
      </c>
      <c r="J15" s="27" t="str">
        <f t="shared" si="0"/>
        <v>High Cost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4">
      <c r="A16" s="10"/>
      <c r="B16" s="26" t="s">
        <v>125</v>
      </c>
      <c r="C16" s="26" t="s">
        <v>111</v>
      </c>
      <c r="D16" s="26" t="s">
        <v>98</v>
      </c>
      <c r="E16" s="26" t="s">
        <v>107</v>
      </c>
      <c r="F16" s="26">
        <v>10000</v>
      </c>
      <c r="G16" s="26">
        <v>5</v>
      </c>
      <c r="H16" s="26" t="s">
        <v>108</v>
      </c>
      <c r="I16" s="26" t="s">
        <v>109</v>
      </c>
      <c r="J16" s="27" t="str">
        <f t="shared" si="0"/>
        <v>Normal Cost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8.8">
      <c r="A17" s="10"/>
      <c r="B17" s="26" t="s">
        <v>126</v>
      </c>
      <c r="C17" s="26" t="s">
        <v>106</v>
      </c>
      <c r="D17" s="26" t="s">
        <v>114</v>
      </c>
      <c r="E17" s="26" t="s">
        <v>115</v>
      </c>
      <c r="F17" s="26">
        <v>19500</v>
      </c>
      <c r="G17" s="26">
        <v>3</v>
      </c>
      <c r="H17" s="26" t="s">
        <v>101</v>
      </c>
      <c r="I17" s="26" t="s">
        <v>102</v>
      </c>
      <c r="J17" s="27" t="str">
        <f t="shared" si="0"/>
        <v>High Cost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4">
      <c r="A18" s="10"/>
      <c r="B18" s="26" t="s">
        <v>127</v>
      </c>
      <c r="C18" s="26" t="s">
        <v>97</v>
      </c>
      <c r="D18" s="26" t="s">
        <v>105</v>
      </c>
      <c r="E18" s="26" t="s">
        <v>107</v>
      </c>
      <c r="F18" s="26">
        <v>10500</v>
      </c>
      <c r="G18" s="26">
        <v>6</v>
      </c>
      <c r="H18" s="26" t="s">
        <v>101</v>
      </c>
      <c r="I18" s="26" t="s">
        <v>109</v>
      </c>
      <c r="J18" s="27" t="str">
        <f t="shared" si="0"/>
        <v>High Cost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L4:R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000"/>
  <sheetViews>
    <sheetView workbookViewId="0">
      <selection activeCell="M14" sqref="M14"/>
    </sheetView>
  </sheetViews>
  <sheetFormatPr defaultColWidth="12.6640625" defaultRowHeight="15" customHeight="1"/>
  <cols>
    <col min="1" max="9" width="9.109375" customWidth="1"/>
    <col min="10" max="10" width="29.109375" customWidth="1"/>
    <col min="11" max="31" width="9.109375" customWidth="1"/>
  </cols>
  <sheetData>
    <row r="1" spans="1:31" ht="23.4">
      <c r="A1" s="64" t="s">
        <v>128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6"/>
    </row>
    <row r="2" spans="1:31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8.8">
      <c r="A3" s="4"/>
      <c r="B3" s="29" t="s">
        <v>129</v>
      </c>
      <c r="C3" s="29" t="s">
        <v>130</v>
      </c>
      <c r="D3" s="29" t="s">
        <v>131</v>
      </c>
      <c r="E3" s="29" t="s">
        <v>132</v>
      </c>
      <c r="F3" s="29" t="s">
        <v>297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4.4">
      <c r="A4" s="4"/>
      <c r="B4" s="29" t="s">
        <v>134</v>
      </c>
      <c r="C4" s="29" t="s">
        <v>135</v>
      </c>
      <c r="D4" s="29" t="s">
        <v>136</v>
      </c>
      <c r="E4" s="29" t="s">
        <v>137</v>
      </c>
      <c r="F4" s="29">
        <v>500</v>
      </c>
      <c r="G4" s="4"/>
      <c r="H4" s="4"/>
      <c r="I4" s="30"/>
      <c r="J4" s="30"/>
      <c r="K4" s="3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4.4">
      <c r="A5" s="4"/>
      <c r="B5" s="29" t="s">
        <v>134</v>
      </c>
      <c r="C5" s="29" t="s">
        <v>135</v>
      </c>
      <c r="D5" s="29" t="s">
        <v>138</v>
      </c>
      <c r="E5" s="29" t="s">
        <v>139</v>
      </c>
      <c r="F5" s="29">
        <v>330</v>
      </c>
      <c r="G5" s="4"/>
      <c r="H5" s="4" t="s">
        <v>135</v>
      </c>
      <c r="I5" s="30">
        <v>1</v>
      </c>
      <c r="J5" s="30" t="s">
        <v>140</v>
      </c>
      <c r="K5" s="30">
        <f>SUMIF(C4:C12,"Ajmal",F4:F12)</f>
        <v>1904</v>
      </c>
      <c r="L5" s="4"/>
      <c r="M5" s="4">
        <f>SUMIF(C4:C12,"Ajmal",F4:F12)</f>
        <v>1904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4.4">
      <c r="A6" s="4"/>
      <c r="B6" s="29" t="s">
        <v>141</v>
      </c>
      <c r="C6" s="29" t="s">
        <v>142</v>
      </c>
      <c r="D6" s="29" t="s">
        <v>138</v>
      </c>
      <c r="E6" s="29" t="s">
        <v>143</v>
      </c>
      <c r="F6" s="29">
        <v>400</v>
      </c>
      <c r="G6" s="4"/>
      <c r="H6" s="4"/>
      <c r="I6" s="30"/>
      <c r="J6" s="30"/>
      <c r="K6" s="3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8.8">
      <c r="A7" s="4"/>
      <c r="B7" s="29" t="s">
        <v>141</v>
      </c>
      <c r="C7" s="29" t="s">
        <v>135</v>
      </c>
      <c r="D7" s="29" t="s">
        <v>144</v>
      </c>
      <c r="E7" s="29" t="s">
        <v>145</v>
      </c>
      <c r="F7" s="29">
        <v>324</v>
      </c>
      <c r="G7" s="4"/>
      <c r="H7" s="4" t="s">
        <v>146</v>
      </c>
      <c r="I7" s="30">
        <v>2</v>
      </c>
      <c r="J7" s="30" t="s">
        <v>147</v>
      </c>
      <c r="K7" s="30">
        <f>SUMIF(B4:B12,B4,F4:F12)</f>
        <v>1436</v>
      </c>
      <c r="L7" s="4"/>
      <c r="M7" s="4">
        <f>SUMIF(B4:B12,"EAST",F4:F12)</f>
        <v>1436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4.4">
      <c r="A8" s="4"/>
      <c r="B8" s="29" t="s">
        <v>134</v>
      </c>
      <c r="C8" s="29" t="s">
        <v>148</v>
      </c>
      <c r="D8" s="29" t="s">
        <v>149</v>
      </c>
      <c r="E8" s="29" t="s">
        <v>143</v>
      </c>
      <c r="F8" s="29">
        <v>206</v>
      </c>
      <c r="G8" s="4"/>
      <c r="H8" s="4"/>
      <c r="I8" s="30"/>
      <c r="J8" s="30"/>
      <c r="K8" s="3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4.4">
      <c r="A9" s="4"/>
      <c r="B9" s="29" t="s">
        <v>150</v>
      </c>
      <c r="C9" s="29" t="s">
        <v>148</v>
      </c>
      <c r="D9" s="29" t="s">
        <v>151</v>
      </c>
      <c r="E9" s="29" t="s">
        <v>152</v>
      </c>
      <c r="F9" s="29">
        <v>208</v>
      </c>
      <c r="G9" s="4"/>
      <c r="H9" s="4"/>
      <c r="I9" s="30"/>
      <c r="J9" s="30"/>
      <c r="K9" s="3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4.4">
      <c r="A10" s="4"/>
      <c r="B10" s="29" t="s">
        <v>153</v>
      </c>
      <c r="C10" s="29" t="s">
        <v>142</v>
      </c>
      <c r="D10" s="29" t="s">
        <v>138</v>
      </c>
      <c r="E10" s="29" t="s">
        <v>154</v>
      </c>
      <c r="F10" s="29">
        <v>246</v>
      </c>
      <c r="G10" s="4"/>
      <c r="H10" s="4" t="s">
        <v>137</v>
      </c>
      <c r="I10" s="30">
        <v>3</v>
      </c>
      <c r="J10" s="30" t="s">
        <v>155</v>
      </c>
      <c r="K10" s="30">
        <f>SUMIF(E4:E12,E4,F4:F12)</f>
        <v>1250</v>
      </c>
      <c r="L10" s="4"/>
      <c r="M10" s="4">
        <f>SUMIF(E4:E12,"Black",F4:F12)</f>
        <v>1250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4.4">
      <c r="A11" s="4"/>
      <c r="B11" s="29" t="s">
        <v>153</v>
      </c>
      <c r="C11" s="29" t="s">
        <v>135</v>
      </c>
      <c r="D11" s="29" t="s">
        <v>136</v>
      </c>
      <c r="E11" s="29" t="s">
        <v>137</v>
      </c>
      <c r="F11" s="29">
        <v>350</v>
      </c>
      <c r="G11" s="4"/>
      <c r="H11" s="4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4.4">
      <c r="A12" s="4"/>
      <c r="B12" s="29" t="s">
        <v>134</v>
      </c>
      <c r="C12" s="29" t="s">
        <v>135</v>
      </c>
      <c r="D12" s="29" t="s">
        <v>136</v>
      </c>
      <c r="E12" s="29" t="s">
        <v>137</v>
      </c>
      <c r="F12" s="29">
        <v>400</v>
      </c>
      <c r="G12" s="4"/>
      <c r="H12" s="4"/>
      <c r="I12" s="30"/>
      <c r="J12" s="30"/>
      <c r="K12" s="3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4.4">
      <c r="A13" s="4"/>
      <c r="B13" s="4"/>
      <c r="C13" s="4"/>
      <c r="D13" s="4"/>
      <c r="E13" s="4"/>
      <c r="F13" s="4"/>
      <c r="G13" s="4"/>
      <c r="H13" s="4" t="s">
        <v>156</v>
      </c>
      <c r="I13" s="30">
        <v>4</v>
      </c>
      <c r="J13" s="30" t="s">
        <v>157</v>
      </c>
      <c r="K13" s="30">
        <f>SUMIF(B4:B12,B9,F4:F12)</f>
        <v>208</v>
      </c>
      <c r="L13" s="4"/>
      <c r="M13" s="4">
        <f>SUMIF(B4:B12,"west",F4:F12)</f>
        <v>208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4.4">
      <c r="A14" s="4"/>
      <c r="B14" s="4"/>
      <c r="C14" s="4"/>
      <c r="D14" s="31" t="s">
        <v>158</v>
      </c>
      <c r="E14" s="32"/>
      <c r="F14" s="23">
        <f>SUM(F4:F12)</f>
        <v>2964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4.4">
      <c r="A16" s="4"/>
      <c r="B16" s="4"/>
      <c r="C16" s="4"/>
      <c r="D16" s="4"/>
      <c r="E16" s="4"/>
      <c r="F16" s="4">
        <f>SUM(F4:F12)</f>
        <v>2964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autoFilter ref="B3:F12" xr:uid="{00000000-0009-0000-0000-000005000000}"/>
  <mergeCells count="1">
    <mergeCell ref="A1:AE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>
      <selection activeCell="I14" sqref="I14"/>
    </sheetView>
  </sheetViews>
  <sheetFormatPr defaultColWidth="12.6640625" defaultRowHeight="15" customHeight="1"/>
  <cols>
    <col min="1" max="1" width="13.109375" customWidth="1"/>
    <col min="2" max="2" width="19" customWidth="1"/>
    <col min="3" max="3" width="13.21875" customWidth="1"/>
    <col min="4" max="4" width="12.88671875" customWidth="1"/>
    <col min="5" max="5" width="10.109375" customWidth="1"/>
    <col min="6" max="6" width="14.21875" customWidth="1"/>
    <col min="7" max="7" width="9.109375" customWidth="1"/>
    <col min="8" max="8" width="29.88671875" customWidth="1"/>
    <col min="9" max="9" width="8.33203125" customWidth="1"/>
    <col min="10" max="29" width="9.109375" customWidth="1"/>
  </cols>
  <sheetData>
    <row r="1" spans="1:29" ht="23.4">
      <c r="A1" s="67" t="s">
        <v>159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8"/>
    </row>
    <row r="2" spans="1:29" ht="14.4">
      <c r="A2" s="4"/>
      <c r="B2" s="33" t="s">
        <v>129</v>
      </c>
      <c r="C2" s="33" t="s">
        <v>130</v>
      </c>
      <c r="D2" s="33" t="s">
        <v>131</v>
      </c>
      <c r="E2" s="33" t="s">
        <v>132</v>
      </c>
      <c r="F2" s="33" t="s">
        <v>133</v>
      </c>
      <c r="G2" s="4"/>
      <c r="H2" s="34" t="s">
        <v>160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">
      <c r="A3" s="4"/>
      <c r="B3" s="35" t="s">
        <v>134</v>
      </c>
      <c r="C3" s="35" t="s">
        <v>135</v>
      </c>
      <c r="D3" s="35" t="s">
        <v>136</v>
      </c>
      <c r="E3" s="35" t="s">
        <v>137</v>
      </c>
      <c r="F3" s="35">
        <v>500</v>
      </c>
      <c r="G3" s="36"/>
      <c r="H3" s="36"/>
      <c r="I3" s="3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4.4">
      <c r="A4" s="4"/>
      <c r="B4" s="35" t="s">
        <v>134</v>
      </c>
      <c r="C4" s="35" t="s">
        <v>135</v>
      </c>
      <c r="D4" s="35" t="s">
        <v>138</v>
      </c>
      <c r="E4" s="35" t="s">
        <v>139</v>
      </c>
      <c r="F4" s="35">
        <v>330</v>
      </c>
      <c r="G4" s="30">
        <v>1</v>
      </c>
      <c r="H4" s="30" t="s">
        <v>161</v>
      </c>
      <c r="I4" s="37">
        <f>COUNTIF(Table_1[SALES MAN],"ajmal")</f>
        <v>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4.4">
      <c r="A5" s="4"/>
      <c r="B5" s="35" t="s">
        <v>141</v>
      </c>
      <c r="C5" s="35" t="s">
        <v>142</v>
      </c>
      <c r="D5" s="35" t="s">
        <v>138</v>
      </c>
      <c r="E5" s="35" t="s">
        <v>143</v>
      </c>
      <c r="F5" s="35">
        <v>400</v>
      </c>
      <c r="G5" s="30"/>
      <c r="H5" s="30"/>
      <c r="I5" s="3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4">
      <c r="A6" s="4"/>
      <c r="B6" s="35" t="s">
        <v>141</v>
      </c>
      <c r="C6" s="35" t="s">
        <v>135</v>
      </c>
      <c r="D6" s="35" t="s">
        <v>144</v>
      </c>
      <c r="E6" s="35" t="s">
        <v>145</v>
      </c>
      <c r="F6" s="35">
        <v>324</v>
      </c>
      <c r="G6" s="30">
        <v>2</v>
      </c>
      <c r="H6" s="30" t="s">
        <v>162</v>
      </c>
      <c r="I6" s="4">
        <f>COUNTIF(Table_1[COLORS],"black")</f>
        <v>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4">
      <c r="A7" s="4"/>
      <c r="B7" s="35" t="s">
        <v>150</v>
      </c>
      <c r="C7" s="35" t="s">
        <v>148</v>
      </c>
      <c r="D7" s="35" t="s">
        <v>149</v>
      </c>
      <c r="E7" s="35" t="s">
        <v>143</v>
      </c>
      <c r="F7" s="35">
        <v>206</v>
      </c>
      <c r="G7" s="4"/>
      <c r="H7" s="2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4.4">
      <c r="A8" s="4"/>
      <c r="B8" s="35" t="s">
        <v>150</v>
      </c>
      <c r="C8" s="35" t="s">
        <v>148</v>
      </c>
      <c r="D8" s="35" t="s">
        <v>151</v>
      </c>
      <c r="E8" s="35" t="s">
        <v>152</v>
      </c>
      <c r="F8" s="35">
        <v>208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>
      <c r="A9" s="4"/>
      <c r="B9" s="35" t="s">
        <v>153</v>
      </c>
      <c r="C9" s="35" t="s">
        <v>142</v>
      </c>
      <c r="D9" s="35" t="s">
        <v>138</v>
      </c>
      <c r="E9" s="35" t="s">
        <v>154</v>
      </c>
      <c r="F9" s="35">
        <v>246</v>
      </c>
      <c r="G9" s="4"/>
      <c r="H9" s="34" t="s">
        <v>163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>
      <c r="A10" s="4"/>
      <c r="B10" s="35" t="s">
        <v>153</v>
      </c>
      <c r="C10" s="35" t="s">
        <v>135</v>
      </c>
      <c r="D10" s="35" t="s">
        <v>136</v>
      </c>
      <c r="E10" s="35" t="s">
        <v>137</v>
      </c>
      <c r="F10" s="35">
        <v>350</v>
      </c>
      <c r="G10" s="36"/>
      <c r="H10" s="3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4.4">
      <c r="A11" s="4"/>
      <c r="B11" s="35" t="s">
        <v>134</v>
      </c>
      <c r="C11" s="35" t="s">
        <v>135</v>
      </c>
      <c r="D11" s="35" t="s">
        <v>136</v>
      </c>
      <c r="E11" s="35" t="s">
        <v>137</v>
      </c>
      <c r="F11" s="35">
        <v>400</v>
      </c>
      <c r="G11" s="38">
        <v>1</v>
      </c>
      <c r="H11" s="30" t="s">
        <v>164</v>
      </c>
      <c r="I11" s="4">
        <f>AVERAGEIF(Table_1[SALES MAN],"ajmal",Table_1[TOTAL SALES])</f>
        <v>380.8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">
      <c r="A12" s="4"/>
      <c r="B12" s="39"/>
      <c r="C12" s="39"/>
      <c r="D12" s="39"/>
      <c r="E12" s="39"/>
      <c r="F12" s="39"/>
      <c r="G12" s="3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">
      <c r="A13" s="4"/>
      <c r="B13" s="4"/>
      <c r="C13" s="4"/>
      <c r="D13" s="4"/>
      <c r="E13" s="23" t="s">
        <v>81</v>
      </c>
      <c r="F13" s="23">
        <f>COUNT(COUNTIF!$F$3:$F$11)</f>
        <v>9</v>
      </c>
      <c r="G13" s="38">
        <v>2</v>
      </c>
      <c r="H13" s="30" t="s">
        <v>165</v>
      </c>
      <c r="I13" s="4">
        <f>AVERAGEIF(Table_1[COLORS],"black",Table_1[TOTAL SALES])</f>
        <v>416.66666666666669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">
      <c r="A14" s="4"/>
      <c r="B14" s="4"/>
      <c r="C14" s="4"/>
      <c r="D14" s="4"/>
      <c r="E14" s="4"/>
      <c r="F14" s="4">
        <f>COUNT(Table_1[TOTAL SALES])</f>
        <v>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4.4">
      <c r="A15" s="4"/>
      <c r="B15" s="4"/>
      <c r="C15" s="4"/>
      <c r="D15" s="4"/>
      <c r="E15" s="40" t="s">
        <v>166</v>
      </c>
      <c r="F15" s="23">
        <f>AVERAGE(F3:F11)</f>
        <v>329.33333333333331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4.4">
      <c r="A16" s="9"/>
      <c r="B16" s="9"/>
      <c r="C16" s="9"/>
      <c r="D16" s="4"/>
      <c r="E16" s="4"/>
      <c r="F16" s="4">
        <f>AVERAGE(Table_1[TOTAL SALES])</f>
        <v>329.33333333333331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.4">
      <c r="A17" s="9"/>
      <c r="B17" s="9"/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4.4">
      <c r="A18" s="9"/>
      <c r="B18" s="9"/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4.4">
      <c r="A19" s="9"/>
      <c r="B19" s="9"/>
      <c r="C19" s="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4.4">
      <c r="A20" s="9"/>
      <c r="B20" s="9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>
      <c r="A21" s="9"/>
      <c r="B21" s="9"/>
      <c r="C21" s="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.75" customHeight="1">
      <c r="A22" s="9"/>
      <c r="B22" s="9"/>
      <c r="C22" s="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>
      <c r="A23" s="9"/>
      <c r="B23" s="9"/>
      <c r="C23" s="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>
      <c r="A24" s="9"/>
      <c r="B24" s="9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>
      <c r="A25" s="9"/>
      <c r="B25" s="9"/>
      <c r="C25" s="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>
      <c r="A26" s="9"/>
      <c r="B26" s="9"/>
      <c r="C26" s="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>
      <c r="A27" s="9"/>
      <c r="B27" s="9"/>
      <c r="C27" s="9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>
      <c r="A28" s="9"/>
      <c r="B28" s="9"/>
      <c r="C28" s="9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>
      <c r="A29" s="9"/>
      <c r="B29" s="9"/>
      <c r="C29" s="9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>
      <c r="A30" s="9"/>
      <c r="B30" s="9"/>
      <c r="C30" s="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>
      <c r="A31" s="9"/>
      <c r="B31" s="9"/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>
      <c r="A32" s="9"/>
      <c r="B32" s="9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>
      <c r="A33" s="9"/>
      <c r="B33" s="9"/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1">
    <mergeCell ref="A1:AC1"/>
  </mergeCell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K4" sqref="K4:K17"/>
    </sheetView>
  </sheetViews>
  <sheetFormatPr defaultColWidth="12.6640625" defaultRowHeight="15" customHeight="1"/>
  <cols>
    <col min="1" max="1" width="9.109375" customWidth="1"/>
    <col min="2" max="2" width="14.109375" customWidth="1"/>
    <col min="3" max="3" width="10.88671875" customWidth="1"/>
    <col min="4" max="4" width="16.6640625" customWidth="1"/>
    <col min="5" max="5" width="18.109375" customWidth="1"/>
    <col min="6" max="6" width="21.109375" customWidth="1"/>
    <col min="7" max="7" width="22" customWidth="1"/>
    <col min="8" max="8" width="19.21875" customWidth="1"/>
    <col min="9" max="9" width="22.88671875" customWidth="1"/>
    <col min="10" max="10" width="18.6640625" customWidth="1"/>
    <col min="11" max="11" width="19.21875" customWidth="1"/>
    <col min="12" max="26" width="9.109375" customWidth="1"/>
  </cols>
  <sheetData>
    <row r="1" spans="1:26" ht="25.8">
      <c r="A1" s="68" t="s">
        <v>167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8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61.5" customHeight="1">
      <c r="A3" s="4"/>
      <c r="B3" s="41" t="s">
        <v>168</v>
      </c>
      <c r="C3" s="41" t="s">
        <v>169</v>
      </c>
      <c r="D3" s="41" t="s">
        <v>170</v>
      </c>
      <c r="E3" s="41" t="s">
        <v>171</v>
      </c>
      <c r="F3" s="41" t="s">
        <v>172</v>
      </c>
      <c r="G3" s="41" t="s">
        <v>173</v>
      </c>
      <c r="H3" s="42" t="s">
        <v>174</v>
      </c>
      <c r="I3" s="42" t="s">
        <v>175</v>
      </c>
      <c r="J3" s="42" t="s">
        <v>176</v>
      </c>
      <c r="K3" s="43" t="s">
        <v>177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4" t="s">
        <v>178</v>
      </c>
      <c r="C4" s="45" t="s">
        <v>179</v>
      </c>
      <c r="D4" s="46" t="s">
        <v>180</v>
      </c>
      <c r="E4" s="46" t="s">
        <v>181</v>
      </c>
      <c r="F4" s="47" t="str">
        <f>LEFT(D4,3)</f>
        <v>ABC</v>
      </c>
      <c r="G4" s="47" t="str">
        <f>RIGHT(C4,5)</f>
        <v>00001</v>
      </c>
      <c r="H4" s="47" t="str">
        <f>MID(E4,4,4)</f>
        <v>2023</v>
      </c>
      <c r="I4" s="47" t="str">
        <f>UPPER(B4)</f>
        <v>SANFER</v>
      </c>
      <c r="J4" s="47" t="str">
        <f>LOWER(B4)</f>
        <v>sanfer</v>
      </c>
      <c r="K4" s="47" t="str">
        <f>PROPER(B4)</f>
        <v>Sanfer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4" t="s">
        <v>78</v>
      </c>
      <c r="C5" s="45" t="s">
        <v>182</v>
      </c>
      <c r="D5" s="46" t="s">
        <v>183</v>
      </c>
      <c r="E5" s="46" t="s">
        <v>184</v>
      </c>
      <c r="F5" s="47" t="str">
        <f t="shared" ref="F5:F17" si="0">LEFT(D5,3)</f>
        <v>DEF</v>
      </c>
      <c r="G5" s="47" t="str">
        <f t="shared" ref="G5:G17" si="1">RIGHT(C5,5)</f>
        <v>00002</v>
      </c>
      <c r="H5" s="47" t="str">
        <f t="shared" ref="H5:H17" si="2">MID(E5,4,4)</f>
        <v>2023</v>
      </c>
      <c r="I5" s="47" t="str">
        <f t="shared" ref="I5:I17" si="3">UPPER(B5)</f>
        <v>ANVER</v>
      </c>
      <c r="J5" s="47" t="str">
        <f t="shared" ref="J5:J17" si="4">LOWER(B5)</f>
        <v>anver</v>
      </c>
      <c r="K5" s="47" t="str">
        <f t="shared" ref="K5:K17" si="5">PROPER(B5)</f>
        <v>Anver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4" t="s">
        <v>80</v>
      </c>
      <c r="C6" s="45" t="s">
        <v>185</v>
      </c>
      <c r="D6" s="46" t="s">
        <v>186</v>
      </c>
      <c r="E6" s="46" t="s">
        <v>187</v>
      </c>
      <c r="F6" s="47" t="str">
        <f t="shared" si="0"/>
        <v>GHE</v>
      </c>
      <c r="G6" s="47" t="str">
        <f t="shared" si="1"/>
        <v>00003</v>
      </c>
      <c r="H6" s="47" t="str">
        <f t="shared" si="2"/>
        <v>2024</v>
      </c>
      <c r="I6" s="47" t="str">
        <f t="shared" si="3"/>
        <v>ASKER</v>
      </c>
      <c r="J6" s="47" t="str">
        <f t="shared" si="4"/>
        <v>asker</v>
      </c>
      <c r="K6" s="47" t="str">
        <f t="shared" si="5"/>
        <v>Asker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4" t="s">
        <v>188</v>
      </c>
      <c r="C7" s="45" t="s">
        <v>189</v>
      </c>
      <c r="D7" s="46" t="s">
        <v>190</v>
      </c>
      <c r="E7" s="46" t="s">
        <v>191</v>
      </c>
      <c r="F7" s="47" t="str">
        <f t="shared" si="0"/>
        <v>JLM</v>
      </c>
      <c r="G7" s="47" t="str">
        <f t="shared" si="1"/>
        <v>00004</v>
      </c>
      <c r="H7" s="47" t="str">
        <f t="shared" si="2"/>
        <v>2024</v>
      </c>
      <c r="I7" s="47" t="str">
        <f t="shared" si="3"/>
        <v>AMJATH</v>
      </c>
      <c r="J7" s="47" t="str">
        <f t="shared" si="4"/>
        <v>amjath</v>
      </c>
      <c r="K7" s="47" t="str">
        <f t="shared" si="5"/>
        <v>Amjath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4" t="s">
        <v>192</v>
      </c>
      <c r="C8" s="45" t="s">
        <v>193</v>
      </c>
      <c r="D8" s="46" t="s">
        <v>194</v>
      </c>
      <c r="E8" s="46" t="s">
        <v>195</v>
      </c>
      <c r="F8" s="47" t="str">
        <f t="shared" si="0"/>
        <v>YUC</v>
      </c>
      <c r="G8" s="47" t="str">
        <f t="shared" si="1"/>
        <v>00005</v>
      </c>
      <c r="H8" s="47" t="str">
        <f t="shared" si="2"/>
        <v>2021</v>
      </c>
      <c r="I8" s="47" t="str">
        <f t="shared" si="3"/>
        <v>RINAAS</v>
      </c>
      <c r="J8" s="47" t="str">
        <f t="shared" si="4"/>
        <v>rinaas</v>
      </c>
      <c r="K8" s="47" t="str">
        <f t="shared" si="5"/>
        <v>Rinaas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4" t="s">
        <v>196</v>
      </c>
      <c r="C9" s="45" t="s">
        <v>197</v>
      </c>
      <c r="D9" s="46" t="s">
        <v>198</v>
      </c>
      <c r="E9" s="46" t="s">
        <v>199</v>
      </c>
      <c r="F9" s="47" t="str">
        <f t="shared" si="0"/>
        <v>PHO</v>
      </c>
      <c r="G9" s="47" t="str">
        <f t="shared" si="1"/>
        <v>00006</v>
      </c>
      <c r="H9" s="47" t="str">
        <f t="shared" si="2"/>
        <v>2023</v>
      </c>
      <c r="I9" s="47" t="str">
        <f t="shared" si="3"/>
        <v>RIFNAS</v>
      </c>
      <c r="J9" s="47" t="str">
        <f t="shared" si="4"/>
        <v>rifnas</v>
      </c>
      <c r="K9" s="47" t="str">
        <f t="shared" si="5"/>
        <v>Rifnas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4" t="s">
        <v>200</v>
      </c>
      <c r="C10" s="45" t="s">
        <v>201</v>
      </c>
      <c r="D10" s="46" t="s">
        <v>202</v>
      </c>
      <c r="E10" s="46" t="s">
        <v>203</v>
      </c>
      <c r="F10" s="47" t="str">
        <f t="shared" si="0"/>
        <v>OUI</v>
      </c>
      <c r="G10" s="47" t="str">
        <f t="shared" si="1"/>
        <v>00007</v>
      </c>
      <c r="H10" s="47" t="str">
        <f t="shared" si="2"/>
        <v>2025</v>
      </c>
      <c r="I10" s="47" t="str">
        <f t="shared" si="3"/>
        <v>BILAAL</v>
      </c>
      <c r="J10" s="47" t="str">
        <f t="shared" si="4"/>
        <v>bilaal</v>
      </c>
      <c r="K10" s="47" t="str">
        <f t="shared" si="5"/>
        <v>Bilaal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4" t="s">
        <v>204</v>
      </c>
      <c r="C11" s="45" t="s">
        <v>205</v>
      </c>
      <c r="D11" s="46" t="s">
        <v>206</v>
      </c>
      <c r="E11" s="46" t="s">
        <v>207</v>
      </c>
      <c r="F11" s="47" t="str">
        <f t="shared" si="0"/>
        <v>PHI</v>
      </c>
      <c r="G11" s="47" t="str">
        <f t="shared" si="1"/>
        <v>00008</v>
      </c>
      <c r="H11" s="47" t="str">
        <f t="shared" si="2"/>
        <v>2023</v>
      </c>
      <c r="I11" s="47" t="str">
        <f t="shared" si="3"/>
        <v>HASAN</v>
      </c>
      <c r="J11" s="47" t="str">
        <f t="shared" si="4"/>
        <v>hasan</v>
      </c>
      <c r="K11" s="47" t="str">
        <f t="shared" si="5"/>
        <v>Hasan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4" t="s">
        <v>208</v>
      </c>
      <c r="C12" s="45" t="s">
        <v>209</v>
      </c>
      <c r="D12" s="46" t="s">
        <v>210</v>
      </c>
      <c r="E12" s="46" t="s">
        <v>211</v>
      </c>
      <c r="F12" s="47" t="str">
        <f t="shared" si="0"/>
        <v>BHI</v>
      </c>
      <c r="G12" s="47" t="str">
        <f t="shared" si="1"/>
        <v>00009</v>
      </c>
      <c r="H12" s="47" t="str">
        <f t="shared" si="2"/>
        <v>2023</v>
      </c>
      <c r="I12" s="47" t="str">
        <f t="shared" si="3"/>
        <v>MUSTHAQ</v>
      </c>
      <c r="J12" s="47" t="str">
        <f t="shared" si="4"/>
        <v>musthaq</v>
      </c>
      <c r="K12" s="47" t="str">
        <f t="shared" si="5"/>
        <v>Musthaq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4" t="s">
        <v>212</v>
      </c>
      <c r="C13" s="45" t="s">
        <v>213</v>
      </c>
      <c r="D13" s="46" t="s">
        <v>214</v>
      </c>
      <c r="E13" s="46" t="s">
        <v>215</v>
      </c>
      <c r="F13" s="47" t="str">
        <f t="shared" si="0"/>
        <v>KHI</v>
      </c>
      <c r="G13" s="47" t="str">
        <f t="shared" si="1"/>
        <v>00010</v>
      </c>
      <c r="H13" s="47" t="str">
        <f t="shared" si="2"/>
        <v>2022</v>
      </c>
      <c r="I13" s="47" t="str">
        <f t="shared" si="3"/>
        <v>SAMEER</v>
      </c>
      <c r="J13" s="47" t="str">
        <f t="shared" si="4"/>
        <v>sameer</v>
      </c>
      <c r="K13" s="47" t="str">
        <f t="shared" si="5"/>
        <v>Sameer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4" t="s">
        <v>66</v>
      </c>
      <c r="C14" s="45" t="s">
        <v>216</v>
      </c>
      <c r="D14" s="46" t="s">
        <v>217</v>
      </c>
      <c r="E14" s="46" t="s">
        <v>218</v>
      </c>
      <c r="F14" s="47" t="str">
        <f t="shared" si="0"/>
        <v>KHI</v>
      </c>
      <c r="G14" s="47" t="str">
        <f t="shared" si="1"/>
        <v>00011</v>
      </c>
      <c r="H14" s="47" t="str">
        <f t="shared" si="2"/>
        <v>2023</v>
      </c>
      <c r="I14" s="47" t="str">
        <f t="shared" si="3"/>
        <v>SANKER</v>
      </c>
      <c r="J14" s="47" t="str">
        <f t="shared" si="4"/>
        <v>sanker</v>
      </c>
      <c r="K14" s="47" t="str">
        <f t="shared" si="5"/>
        <v>Sanker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4" t="s">
        <v>219</v>
      </c>
      <c r="C15" s="45" t="s">
        <v>220</v>
      </c>
      <c r="D15" s="46" t="s">
        <v>221</v>
      </c>
      <c r="E15" s="46" t="s">
        <v>222</v>
      </c>
      <c r="F15" s="47" t="str">
        <f t="shared" si="0"/>
        <v>YHI</v>
      </c>
      <c r="G15" s="47" t="str">
        <f t="shared" si="1"/>
        <v>00012</v>
      </c>
      <c r="H15" s="47" t="str">
        <f t="shared" si="2"/>
        <v>2023</v>
      </c>
      <c r="I15" s="47" t="str">
        <f t="shared" si="3"/>
        <v>AMNAAN</v>
      </c>
      <c r="J15" s="47" t="str">
        <f t="shared" si="4"/>
        <v>amnaan</v>
      </c>
      <c r="K15" s="47" t="str">
        <f t="shared" si="5"/>
        <v>Amnaan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4" t="s">
        <v>223</v>
      </c>
      <c r="C16" s="45" t="s">
        <v>224</v>
      </c>
      <c r="D16" s="46" t="s">
        <v>225</v>
      </c>
      <c r="E16" s="46" t="s">
        <v>226</v>
      </c>
      <c r="F16" s="47" t="str">
        <f t="shared" si="0"/>
        <v>OHI</v>
      </c>
      <c r="G16" s="47" t="str">
        <f t="shared" si="1"/>
        <v>00013</v>
      </c>
      <c r="H16" s="47" t="str">
        <f t="shared" si="2"/>
        <v>2024</v>
      </c>
      <c r="I16" s="47" t="str">
        <f t="shared" si="3"/>
        <v>HAMTHAN</v>
      </c>
      <c r="J16" s="47" t="str">
        <f t="shared" si="4"/>
        <v>hamthan</v>
      </c>
      <c r="K16" s="47" t="str">
        <f t="shared" si="5"/>
        <v>Hamthan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4" t="s">
        <v>227</v>
      </c>
      <c r="C17" s="45" t="s">
        <v>228</v>
      </c>
      <c r="D17" s="46" t="s">
        <v>229</v>
      </c>
      <c r="E17" s="46" t="s">
        <v>230</v>
      </c>
      <c r="F17" s="47" t="str">
        <f t="shared" si="0"/>
        <v>YHI</v>
      </c>
      <c r="G17" s="47" t="str">
        <f t="shared" si="1"/>
        <v>00014</v>
      </c>
      <c r="H17" s="47" t="str">
        <f t="shared" si="2"/>
        <v>2022</v>
      </c>
      <c r="I17" s="47" t="str">
        <f t="shared" si="3"/>
        <v>RAHMAAN</v>
      </c>
      <c r="J17" s="47" t="str">
        <f t="shared" si="4"/>
        <v>rahmaan</v>
      </c>
      <c r="K17" s="47" t="str">
        <f t="shared" si="5"/>
        <v>Rahmaan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9"/>
      <c r="C18" s="9"/>
      <c r="D18" s="9"/>
      <c r="E18" s="9"/>
      <c r="F18" s="12"/>
      <c r="G18" s="12"/>
      <c r="H18" s="12"/>
      <c r="I18" s="12"/>
      <c r="J18" s="12" t="str">
        <f t="shared" ref="J18:J25" si="6">LOWER(B18)</f>
        <v/>
      </c>
      <c r="K18" s="9"/>
      <c r="L18" s="9"/>
      <c r="M18" s="9"/>
      <c r="N18" s="9"/>
      <c r="O18" s="9"/>
      <c r="P18" s="9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9"/>
      <c r="C19" s="9"/>
      <c r="D19" s="9"/>
      <c r="E19" s="9"/>
      <c r="F19" s="12"/>
      <c r="G19" s="12"/>
      <c r="H19" s="12"/>
      <c r="I19" s="12"/>
      <c r="J19" s="12" t="str">
        <f t="shared" si="6"/>
        <v/>
      </c>
      <c r="K19" s="9"/>
      <c r="L19" s="9"/>
      <c r="M19" s="9"/>
      <c r="N19" s="9"/>
      <c r="O19" s="9"/>
      <c r="P19" s="9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9"/>
      <c r="C20" s="9"/>
      <c r="D20" s="9"/>
      <c r="E20" s="9"/>
      <c r="F20" s="12"/>
      <c r="G20" s="12" t="str">
        <f t="shared" ref="G20:G21" si="7">RIGHT(C20,5)</f>
        <v/>
      </c>
      <c r="H20" s="12" t="str">
        <f t="shared" ref="H20:H21" si="8">MID(E20,4,4)</f>
        <v/>
      </c>
      <c r="I20" s="12" t="str">
        <f t="shared" ref="I20:I21" si="9">UPPER(B20)</f>
        <v/>
      </c>
      <c r="J20" s="12" t="str">
        <f t="shared" si="6"/>
        <v/>
      </c>
      <c r="K20" s="9"/>
      <c r="L20" s="9"/>
      <c r="M20" s="9"/>
      <c r="N20" s="9"/>
      <c r="O20" s="9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9"/>
      <c r="C21" s="9"/>
      <c r="D21" s="9"/>
      <c r="E21" s="9"/>
      <c r="F21" s="9"/>
      <c r="G21" s="12" t="str">
        <f t="shared" si="7"/>
        <v/>
      </c>
      <c r="H21" s="12" t="str">
        <f t="shared" si="8"/>
        <v/>
      </c>
      <c r="I21" s="12" t="str">
        <f t="shared" si="9"/>
        <v/>
      </c>
      <c r="J21" s="12" t="str">
        <f t="shared" si="6"/>
        <v/>
      </c>
      <c r="K21" s="9"/>
      <c r="L21" s="9"/>
      <c r="M21" s="9"/>
      <c r="N21" s="9"/>
      <c r="O21" s="9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9"/>
      <c r="C22" s="9"/>
      <c r="D22" s="9"/>
      <c r="E22" s="9"/>
      <c r="F22" s="9"/>
      <c r="G22" s="9"/>
      <c r="H22" s="9"/>
      <c r="I22" s="9"/>
      <c r="J22" s="12" t="str">
        <f t="shared" si="6"/>
        <v/>
      </c>
      <c r="K22" s="9"/>
      <c r="L22" s="9"/>
      <c r="M22" s="9"/>
      <c r="N22" s="9"/>
      <c r="O22" s="9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9"/>
      <c r="C23" s="9"/>
      <c r="D23" s="9"/>
      <c r="E23" s="9"/>
      <c r="F23" s="9"/>
      <c r="G23" s="9"/>
      <c r="H23" s="9"/>
      <c r="I23" s="9"/>
      <c r="J23" s="12" t="str">
        <f t="shared" si="6"/>
        <v/>
      </c>
      <c r="K23" s="9"/>
      <c r="L23" s="9"/>
      <c r="M23" s="9"/>
      <c r="N23" s="9"/>
      <c r="O23" s="9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9"/>
      <c r="C24" s="9"/>
      <c r="D24" s="9"/>
      <c r="E24" s="9"/>
      <c r="F24" s="9"/>
      <c r="G24" s="9"/>
      <c r="H24" s="9"/>
      <c r="I24" s="9"/>
      <c r="J24" s="12" t="str">
        <f t="shared" si="6"/>
        <v/>
      </c>
      <c r="K24" s="9"/>
      <c r="L24" s="9"/>
      <c r="M24" s="9"/>
      <c r="N24" s="9"/>
      <c r="O24" s="9"/>
      <c r="P24" s="9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9"/>
      <c r="C25" s="9"/>
      <c r="D25" s="9"/>
      <c r="E25" s="9"/>
      <c r="F25" s="9"/>
      <c r="G25" s="9"/>
      <c r="H25" s="9"/>
      <c r="I25" s="9"/>
      <c r="J25" s="12" t="str">
        <f t="shared" si="6"/>
        <v/>
      </c>
      <c r="K25" s="9"/>
      <c r="L25" s="9"/>
      <c r="M25" s="9"/>
      <c r="N25" s="9"/>
      <c r="O25" s="9"/>
      <c r="P25" s="9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X1"/>
  </mergeCells>
  <pageMargins left="0.75" right="0.75" top="1" bottom="1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abSelected="1" workbookViewId="0">
      <selection activeCell="K4" sqref="K4:K9"/>
    </sheetView>
  </sheetViews>
  <sheetFormatPr defaultColWidth="12.6640625" defaultRowHeight="15" customHeight="1"/>
  <cols>
    <col min="1" max="1" width="9.109375" customWidth="1"/>
    <col min="2" max="6" width="12" customWidth="1"/>
    <col min="7" max="7" width="14" customWidth="1"/>
    <col min="8" max="8" width="9.109375" customWidth="1"/>
    <col min="9" max="9" width="14" customWidth="1"/>
    <col min="10" max="10" width="12" customWidth="1"/>
    <col min="11" max="11" width="10.88671875" customWidth="1"/>
    <col min="12" max="26" width="8.6640625" customWidth="1"/>
  </cols>
  <sheetData>
    <row r="1" spans="1:26" ht="21">
      <c r="A1" s="10"/>
      <c r="B1" s="10"/>
      <c r="C1" s="10"/>
      <c r="D1" s="48" t="s">
        <v>231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8.8">
      <c r="A3" s="10"/>
      <c r="B3" s="24" t="s">
        <v>87</v>
      </c>
      <c r="C3" s="24" t="s">
        <v>232</v>
      </c>
      <c r="D3" s="24" t="s">
        <v>233</v>
      </c>
      <c r="E3" s="24" t="s">
        <v>234</v>
      </c>
      <c r="F3" s="24" t="s">
        <v>89</v>
      </c>
      <c r="G3" s="49" t="s">
        <v>235</v>
      </c>
      <c r="H3" s="49" t="s">
        <v>236</v>
      </c>
      <c r="I3" s="49" t="s">
        <v>237</v>
      </c>
      <c r="J3" s="49" t="s">
        <v>238</v>
      </c>
      <c r="K3" s="49" t="s">
        <v>239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4">
      <c r="A4" s="10"/>
      <c r="B4" s="26" t="s">
        <v>240</v>
      </c>
      <c r="C4" s="26" t="s">
        <v>241</v>
      </c>
      <c r="D4" s="26" t="s">
        <v>242</v>
      </c>
      <c r="E4" s="26" t="s">
        <v>243</v>
      </c>
      <c r="F4" s="26" t="s">
        <v>244</v>
      </c>
      <c r="G4" s="49" t="str">
        <f>LEFT(B4,3)</f>
        <v>IMP</v>
      </c>
      <c r="H4" s="49" t="str">
        <f>RIGHT(B4,2)</f>
        <v>01</v>
      </c>
      <c r="I4" s="49" t="str">
        <f>MID(B4,5,4)</f>
        <v>2024</v>
      </c>
      <c r="J4" s="49" t="str">
        <f>UPPER(F4)</f>
        <v>NEW YORK</v>
      </c>
      <c r="K4" s="49" t="str">
        <f>LOWER(F4)</f>
        <v>new york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8.8">
      <c r="A5" s="10"/>
      <c r="B5" s="26" t="s">
        <v>245</v>
      </c>
      <c r="C5" s="26" t="s">
        <v>246</v>
      </c>
      <c r="D5" s="26" t="s">
        <v>247</v>
      </c>
      <c r="E5" s="26" t="s">
        <v>248</v>
      </c>
      <c r="F5" s="26" t="s">
        <v>249</v>
      </c>
      <c r="G5" s="49" t="str">
        <f t="shared" ref="G5:G9" si="0">LEFT(B5,3)</f>
        <v>EXP</v>
      </c>
      <c r="H5" s="49" t="str">
        <f t="shared" ref="H5:H9" si="1">RIGHT(B5,2)</f>
        <v>89</v>
      </c>
      <c r="I5" s="49" t="str">
        <f t="shared" ref="I5:I9" si="2">MID(B5,5,4)</f>
        <v>2023</v>
      </c>
      <c r="J5" s="49" t="str">
        <f t="shared" ref="J5:J9" si="3">UPPER(F5)</f>
        <v>DUBAI</v>
      </c>
      <c r="K5" s="49" t="str">
        <f t="shared" ref="K5:K9" si="4">LOWER(F5)</f>
        <v>dubai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4">
      <c r="A6" s="10"/>
      <c r="B6" s="26" t="s">
        <v>250</v>
      </c>
      <c r="C6" s="26" t="s">
        <v>251</v>
      </c>
      <c r="D6" s="26" t="s">
        <v>242</v>
      </c>
      <c r="E6" s="26" t="s">
        <v>252</v>
      </c>
      <c r="F6" s="26" t="s">
        <v>253</v>
      </c>
      <c r="G6" s="49" t="str">
        <f t="shared" si="0"/>
        <v>IMP</v>
      </c>
      <c r="H6" s="49" t="str">
        <f t="shared" si="1"/>
        <v>23</v>
      </c>
      <c r="I6" s="49" t="str">
        <f t="shared" si="2"/>
        <v>2024</v>
      </c>
      <c r="J6" s="49" t="str">
        <f t="shared" si="3"/>
        <v>LONDON</v>
      </c>
      <c r="K6" s="49" t="str">
        <f t="shared" si="4"/>
        <v>london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8.8">
      <c r="A7" s="10"/>
      <c r="B7" s="26" t="s">
        <v>254</v>
      </c>
      <c r="C7" s="26" t="s">
        <v>255</v>
      </c>
      <c r="D7" s="26" t="s">
        <v>247</v>
      </c>
      <c r="E7" s="26" t="s">
        <v>256</v>
      </c>
      <c r="F7" s="26" t="s">
        <v>257</v>
      </c>
      <c r="G7" s="49" t="str">
        <f t="shared" si="0"/>
        <v>EXP</v>
      </c>
      <c r="H7" s="49" t="str">
        <f t="shared" si="1"/>
        <v>45</v>
      </c>
      <c r="I7" s="49" t="str">
        <f t="shared" si="2"/>
        <v>2023</v>
      </c>
      <c r="J7" s="49" t="str">
        <f t="shared" si="3"/>
        <v>SYDNEY</v>
      </c>
      <c r="K7" s="49" t="str">
        <f t="shared" si="4"/>
        <v>sydney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8.8">
      <c r="A8" s="10"/>
      <c r="B8" s="26" t="s">
        <v>258</v>
      </c>
      <c r="C8" s="26" t="s">
        <v>259</v>
      </c>
      <c r="D8" s="26" t="s">
        <v>247</v>
      </c>
      <c r="E8" s="26" t="s">
        <v>260</v>
      </c>
      <c r="F8" s="26" t="s">
        <v>261</v>
      </c>
      <c r="G8" s="49" t="str">
        <f t="shared" si="0"/>
        <v>EXP</v>
      </c>
      <c r="H8" s="49" t="str">
        <f t="shared" si="1"/>
        <v>11</v>
      </c>
      <c r="I8" s="49" t="str">
        <f t="shared" si="2"/>
        <v>2024</v>
      </c>
      <c r="J8" s="49" t="str">
        <f t="shared" si="3"/>
        <v>HAMBURG</v>
      </c>
      <c r="K8" s="49" t="str">
        <f t="shared" si="4"/>
        <v>hamburg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8.8">
      <c r="A9" s="10"/>
      <c r="B9" s="26" t="s">
        <v>262</v>
      </c>
      <c r="C9" s="26" t="s">
        <v>263</v>
      </c>
      <c r="D9" s="26" t="s">
        <v>242</v>
      </c>
      <c r="E9" s="26" t="s">
        <v>264</v>
      </c>
      <c r="F9" s="26" t="s">
        <v>265</v>
      </c>
      <c r="G9" s="49" t="str">
        <f t="shared" si="0"/>
        <v>IMP</v>
      </c>
      <c r="H9" s="49" t="str">
        <f t="shared" si="1"/>
        <v>07</v>
      </c>
      <c r="I9" s="49" t="str">
        <f t="shared" si="2"/>
        <v>2023</v>
      </c>
      <c r="J9" s="49" t="str">
        <f t="shared" si="3"/>
        <v>MELBOURNE</v>
      </c>
      <c r="K9" s="49" t="str">
        <f t="shared" si="4"/>
        <v>melbourne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1">
      <c r="A12" s="10"/>
      <c r="B12" s="50" t="s">
        <v>266</v>
      </c>
      <c r="C12" s="10"/>
      <c r="D12" s="10"/>
      <c r="E12" s="10"/>
      <c r="F12" s="51"/>
      <c r="G12" s="10" t="s">
        <v>267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6">
      <c r="A13" s="10"/>
      <c r="B13" s="52" t="s">
        <v>268</v>
      </c>
      <c r="C13" s="10"/>
      <c r="D13" s="10"/>
      <c r="E13" s="10"/>
      <c r="F13" s="10"/>
      <c r="G13" s="10" t="s">
        <v>269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4">
      <c r="A14" s="10"/>
      <c r="B14" s="53" t="s">
        <v>270</v>
      </c>
      <c r="C14" s="10"/>
      <c r="D14" s="10"/>
      <c r="E14" s="10"/>
      <c r="F14" s="10"/>
      <c r="G14" s="10" t="s">
        <v>271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4">
      <c r="A15" s="10"/>
      <c r="B15" s="54" t="s">
        <v>272</v>
      </c>
      <c r="C15" s="10"/>
      <c r="D15" s="10"/>
      <c r="E15" s="10"/>
      <c r="F15" s="10"/>
      <c r="G15" s="10" t="s">
        <v>273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4">
      <c r="A16" s="10"/>
      <c r="B16" s="54" t="s">
        <v>274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4">
      <c r="A17" s="10"/>
      <c r="B17" s="54" t="s">
        <v>275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4">
      <c r="A18" s="10"/>
      <c r="B18" s="54" t="s">
        <v>276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4">
      <c r="A19" s="10"/>
      <c r="B19" s="10" t="s">
        <v>277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6">
      <c r="A20" s="10"/>
      <c r="B20" s="52" t="s">
        <v>278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0"/>
      <c r="B21" s="53" t="s">
        <v>279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10"/>
      <c r="B22" s="53" t="s">
        <v>280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0"/>
      <c r="B23" s="53" t="s">
        <v>281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10"/>
      <c r="B24" s="10" t="s">
        <v>282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10"/>
      <c r="B25" s="52" t="s">
        <v>283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10"/>
      <c r="B26" s="53" t="s">
        <v>284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0"/>
      <c r="B27" s="53" t="s">
        <v>285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0"/>
      <c r="B28" s="55" t="s">
        <v>286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10"/>
      <c r="B29" s="55" t="s">
        <v>287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10"/>
      <c r="B30" s="10" t="s">
        <v>288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10"/>
      <c r="B31" s="52" t="s">
        <v>289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10"/>
      <c r="B32" s="53" t="s">
        <v>290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10"/>
      <c r="B33" s="53" t="s">
        <v>291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10"/>
      <c r="B34" s="10" t="s">
        <v>292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10"/>
      <c r="B35" s="52" t="s">
        <v>293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10"/>
      <c r="B36" s="53" t="s">
        <v>294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10"/>
      <c r="B37" s="53" t="s">
        <v>295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10"/>
      <c r="B38" s="10" t="s">
        <v>296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10"/>
      <c r="B42" s="53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Today</vt:lpstr>
      <vt:lpstr>SUM,AVERAGE,MAX,MIN</vt:lpstr>
      <vt:lpstr>COUNT</vt:lpstr>
      <vt:lpstr>if1</vt:lpstr>
      <vt:lpstr>IF1 (2)</vt:lpstr>
      <vt:lpstr>SUMIF</vt:lpstr>
      <vt:lpstr>COUNTIF</vt:lpstr>
      <vt:lpstr>LEFT,RIGHT,MID,UPPER,PROPER</vt:lpstr>
      <vt:lpstr>LEFT,RIGHT,MID,UPPER,LOWER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Binjus Jacob</dc:creator>
  <cp:lastModifiedBy>fathima ma</cp:lastModifiedBy>
  <dcterms:created xsi:type="dcterms:W3CDTF">2026-03-18T14:23:45Z</dcterms:created>
  <dcterms:modified xsi:type="dcterms:W3CDTF">2026-10-18T16:31:18Z</dcterms:modified>
</cp:coreProperties>
</file>